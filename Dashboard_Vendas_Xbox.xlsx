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nic\OneDrive\Área de Trabalho\Projetos\"/>
    </mc:Choice>
  </mc:AlternateContent>
  <xr:revisionPtr revIDLastSave="0" documentId="8_{FAB37CF2-2864-46A1-98DB-97FB0BF637A5}" xr6:coauthVersionLast="47" xr6:coauthVersionMax="47" xr10:uidLastSave="{00000000-0000-0000-0000-000000000000}"/>
  <bookViews>
    <workbookView xWindow="-120" yWindow="-120" windowWidth="20730" windowHeight="11160" tabRatio="182" firstSheet="3" activeTab="3" xr2:uid="{28DD5B76-0634-4F87-BE60-8BFA7EF2E23B}"/>
  </bookViews>
  <sheets>
    <sheet name="A̳ssets" sheetId="1" state="hidden" r:id="rId1"/>
    <sheet name="B̳ases" sheetId="2" state="hidden" r:id="rId2"/>
    <sheet name="C̳álculos" sheetId="3" state="hidden" r:id="rId3"/>
    <sheet name="D̳ashboard" sheetId="4" r:id="rId4"/>
  </sheets>
  <definedNames>
    <definedName name="SegmentaçãodeDados_Subscription_Type">#N/A</definedName>
  </definedNames>
  <calcPr calcId="191029"/>
  <pivotCaches>
    <pivotCache cacheId="7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3" i="3" l="1"/>
  <c r="E22" i="3"/>
</calcChain>
</file>

<file path=xl/sharedStrings.xml><?xml version="1.0" encoding="utf-8"?>
<sst xmlns="http://schemas.openxmlformats.org/spreadsheetml/2006/main" count="2017" uniqueCount="319">
  <si>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</si>
  <si>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</si>
  <si>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</si>
  <si>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</si>
  <si>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</si>
  <si>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</si>
  <si>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</si>
  <si>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</si>
  <si>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</si>
  <si>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</si>
  <si>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</si>
  <si>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</si>
  <si>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</si>
  <si>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</si>
  <si>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</si>
  <si>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</si>
  <si>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</si>
  <si>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</si>
  <si>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</si>
  <si>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</si>
  <si>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</si>
  <si>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</si>
  <si>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</si>
  <si>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</si>
  <si>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</si>
  <si>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</si>
  <si>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</si>
  <si>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</si>
  <si>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</si>
  <si>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</si>
  <si>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</si>
  <si>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</si>
  <si>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</si>
  <si>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</si>
  <si>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</si>
  <si>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</si>
  <si>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</si>
  <si>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</si>
  <si>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</si>
  <si>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</si>
  <si>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</si>
  <si>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</si>
  <si>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</si>
  <si>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</si>
  <si>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</si>
  <si>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</si>
  <si>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</si>
  <si>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</si>
  <si>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</si>
  <si>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</si>
  <si>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</si>
  <si>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</si>
  <si>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</si>
  <si>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</si>
  <si>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</si>
  <si>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</si>
  <si>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</si>
  <si>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</si>
  <si>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</si>
  <si>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</si>
  <si>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</si>
  <si>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</si>
  <si>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</si>
  <si>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</si>
  <si>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</si>
  <si>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</si>
  <si>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</si>
  <si>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</si>
  <si>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</si>
  <si>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</si>
  <si>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</si>
  <si>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</si>
  <si>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</si>
  <si>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</si>
  <si>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</si>
  <si>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</si>
  <si>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</si>
  <si>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</si>
  <si>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</si>
  <si>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</si>
  <si>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</si>
  <si>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</si>
  <si>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</si>
  <si>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</si>
  <si>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</si>
  <si>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</si>
  <si>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</si>
  <si>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</si>
  <si>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</si>
  <si>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</si>
  <si>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</si>
  <si>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</si>
  <si>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</si>
  <si>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</si>
  <si>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</si>
  <si>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</si>
  <si>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</si>
  <si>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</si>
  <si>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</si>
  <si>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</si>
  <si>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</si>
  <si>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</si>
  <si>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</si>
  <si>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</si>
  <si>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</si>
  <si>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</si>
  <si>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</si>
  <si>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</si>
  <si>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</si>
  <si>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</si>
  <si>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</si>
  <si>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</si>
  <si>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</si>
  <si>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</si>
  <si>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</si>
  <si>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</si>
  <si>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</si>
  <si>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</si>
  <si>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</si>
  <si>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</si>
  <si>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</si>
  <si>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</si>
  <si>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</si>
  <si>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</si>
  <si>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</si>
  <si>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</si>
  <si>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</si>
  <si>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</si>
  <si>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</si>
  <si>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</si>
  <si>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</si>
  <si>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</si>
  <si>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</si>
  <si>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</si>
  <si>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</si>
  <si>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</si>
  <si>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</si>
  <si>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</si>
  <si>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</si>
  <si>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</si>
  <si>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</si>
  <si>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</si>
  <si>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</si>
  <si>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</si>
  <si>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</si>
  <si>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</si>
  <si>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</si>
  <si>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</si>
  <si>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</si>
  <si>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</si>
  <si>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</si>
  <si>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</si>
  <si>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</si>
  <si>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</si>
  <si>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</si>
  <si>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</si>
  <si>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</si>
  <si>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</si>
  <si>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</si>
  <si>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</si>
  <si>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</si>
  <si>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</si>
  <si>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</si>
  <si>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</si>
  <si>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</si>
  <si>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</si>
  <si>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</si>
  <si>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</si>
  <si>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</si>
  <si>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</si>
  <si>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</si>
  <si>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</si>
  <si>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</si>
  <si>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</si>
  <si>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</si>
  <si>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</si>
  <si>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</si>
  <si>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</si>
  <si>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</si>
  <si>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</si>
  <si>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</si>
  <si>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</si>
  <si>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</si>
  <si>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</si>
  <si>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</si>
  <si>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</si>
  <si>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</si>
  <si>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</si>
  <si>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</si>
  <si>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</si>
  <si>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</si>
  <si>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</si>
  <si>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</si>
  <si>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</si>
  <si>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</si>
  <si>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</si>
  <si>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</si>
  <si>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</si>
  <si>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</si>
  <si>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</si>
  <si>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</si>
  <si>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</si>
  <si>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</si>
  <si>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</si>
  <si>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</si>
  <si>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</si>
  <si>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</si>
  <si>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</si>
  <si>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</si>
  <si>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</si>
  <si>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</si>
  <si>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</si>
  <si>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</si>
  <si>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</si>
  <si>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</si>
  <si>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</si>
  <si>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</si>
  <si>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</si>
  <si>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</si>
  <si>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</si>
  <si>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</si>
  <si>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</si>
  <si>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</si>
  <si>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</si>
  <si>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</si>
  <si>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</si>
  <si>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</si>
  <si>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</si>
  <si>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</si>
  <si>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</si>
  <si>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</si>
  <si>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</si>
  <si>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</si>
  <si>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</si>
  <si>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</si>
  <si>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</si>
  <si>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</si>
  <si>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</si>
  <si>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</si>
  <si>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</si>
  <si>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</si>
  <si>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</si>
  <si>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</si>
  <si>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</si>
  <si>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</si>
  <si>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</si>
  <si>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</si>
  <si>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</si>
  <si>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</si>
  <si>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</si>
  <si>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</si>
  <si>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</si>
  <si>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</si>
  <si>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</si>
  <si>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</si>
  <si>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</si>
  <si>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</si>
  <si>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</si>
  <si>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</si>
  <si>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</si>
  <si>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</si>
  <si>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</si>
  <si>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</si>
  <si>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</si>
  <si>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</si>
  <si>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</si>
  <si>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</si>
  <si>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</si>
  <si>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</si>
  <si>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</si>
  <si>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</si>
  <si>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</si>
  <si>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</si>
  <si>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</si>
  <si>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</si>
  <si>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</si>
  <si>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</si>
  <si>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</si>
  <si>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</si>
  <si>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</si>
  <si>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</si>
  <si>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</si>
  <si>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</si>
  <si>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</si>
  <si>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</si>
  <si>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</si>
  <si>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</si>
  <si>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</si>
  <si>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</si>
  <si>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</si>
  <si>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</si>
  <si>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</si>
  <si>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</si>
  <si>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</si>
  <si>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</si>
  <si>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</si>
  <si>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</si>
  <si>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</si>
  <si>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</si>
  <si>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</si>
  <si>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</si>
  <si>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</si>
  <si>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</si>
  <si>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</si>
  <si>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</si>
  <si>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</si>
  <si>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</si>
  <si>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</si>
  <si>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</si>
  <si>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</si>
  <si>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</si>
  <si>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</si>
  <si>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</si>
  <si>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Rótulos de Linha</t>
  </si>
  <si>
    <t>Total Geral</t>
  </si>
  <si>
    <t>Soma de Total Value</t>
  </si>
  <si>
    <t>XBOX GAME PASS SUBSCRIPTIONS SALES</t>
  </si>
  <si>
    <t>Soma de EA Play Season Pass</t>
  </si>
  <si>
    <t>Soma de Minecraft Season Pass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</si>
</sst>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R$&quot;\ * #,##0.00_-;\-&quot;R$&quot;\ * #,##0.00_-;_-&quot;R$&quot;\ * &quot;-&quot;??_-;_-@_-"/>
    <numFmt numFmtId="165" formatCode="&quot;R$&quot;\ #,##0.00"/>
  </numFmts>
  <fonts count="5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5"/>
      <color rgb="FF22C55E"/>
      <name val="Segoe UI"/>
      <family val="2"/>
    </font>
  </fonts>
  <fills count="8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2C55E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19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4" fillId="0" borderId="2" xfId="1" applyFont="1" applyBorder="1"/>
    <xf numFmtId="165" fontId="0" fillId="0" borderId="0" xfId="0" applyNumberFormat="1"/>
    <xf numFmtId="0" fontId="0" fillId="0" borderId="2" xfId="0" applyBorder="1"/>
    <xf numFmtId="0" fontId="4" fillId="0" borderId="2" xfId="1" applyFont="1" applyBorder="1" applyAlignment="1">
      <alignment horizontal="left" indent="13"/>
    </xf>
  </cellXfs>
  <cellStyles count="3">
    <cellStyle name="Moeda" xfId="2" builtinId="4"/>
    <cellStyle name="Normal" xfId="0" builtinId="0"/>
    <cellStyle name="Título 1" xfId="1" builtinId="16"/>
  </cellStyles>
  <dxfs count="40">
    <dxf>
      <numFmt numFmtId="165" formatCode="&quot;R$&quot;\ #,##0.00"/>
    </dxf>
    <dxf>
      <numFmt numFmtId="165" formatCode="&quot;R$&quot;\ #,##0.00"/>
    </dxf>
    <dxf>
      <numFmt numFmtId="0" formatCode="General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0" formatCode="General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0" formatCode="General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165" formatCode="&quot;R$&quot;\ #,##0.00"/>
    </dxf>
    <dxf>
      <numFmt numFmtId="0" formatCode="General"/>
    </dxf>
    <dxf>
      <font>
        <b/>
        <i val="0"/>
        <color theme="0"/>
      </font>
      <border>
        <bottom style="thin">
          <color theme="9"/>
        </bottom>
        <vertical/>
        <horizontal/>
      </border>
    </dxf>
    <dxf>
      <font>
        <color theme="1"/>
      </font>
      <fill>
        <patternFill>
          <bgColor rgb="FF22C55E"/>
        </patternFill>
      </fill>
      <border diagonalUp="0" diagonalDown="0">
        <left/>
        <right/>
        <top/>
        <bottom/>
        <vertical/>
        <horizontal/>
      </border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1" defaultTableStyle="TableStyleMedium2" defaultPivotStyle="PivotStyleLight16">
    <tableStyle name="SlicerStyleLight6 2" pivot="0" table="0" count="10" xr9:uid="{9B2CC409-0748-4179-869D-B3C610D19A2E}">
      <tableStyleElement type="wholeTable" dxfId="25"/>
      <tableStyleElement type="headerRow" dxfId="24"/>
    </tableStyle>
  </tableStyles>
  <colors>
    <mruColors>
      <color rgb="FF22C55E"/>
      <color rgb="FF5BF6A8"/>
      <color rgb="FF2AE6B1"/>
      <color rgb="FFE8E6E9"/>
      <color rgb="FF000000"/>
      <color rgb="FFE0E0E0"/>
      <color rgb="FFEDEDED"/>
      <color rgb="FFF7F8FC"/>
      <color rgb="FF9BC848"/>
      <color rgb="FFE70011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[Dashboard_Vendas_Xbox.xlsx]C̳álculos!tbl_annual_total</c:name>
    <c:fmtId val="3"/>
  </c:pivotSource>
  <c:chart>
    <c:autoTitleDeleted val="1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22C55E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0" i="0" u="none" strike="noStrike" kern="1200" baseline="0">
                  <a:solidFill>
                    <a:srgbClr val="22C55E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C̳álculos!$C$8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2C55E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rgbClr val="22C55E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C̳álculos!$B$9:$B$11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C̳álculos!$C$9:$C$11</c:f>
              <c:numCache>
                <c:formatCode>"R$"\ #,##0.00</c:formatCode>
                <c:ptCount val="2"/>
                <c:pt idx="0">
                  <c:v>217</c:v>
                </c:pt>
                <c:pt idx="1">
                  <c:v>1537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58-4AF4-BDDB-8E7C91D2B5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59961231"/>
        <c:axId val="459959311"/>
      </c:barChart>
      <c:catAx>
        <c:axId val="4599612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9959311"/>
        <c:crosses val="autoZero"/>
        <c:auto val="1"/>
        <c:lblAlgn val="ctr"/>
        <c:lblOffset val="100"/>
        <c:noMultiLvlLbl val="0"/>
      </c:catAx>
      <c:valAx>
        <c:axId val="459959311"/>
        <c:scaling>
          <c:orientation val="minMax"/>
        </c:scaling>
        <c:delete val="1"/>
        <c:axPos val="b"/>
        <c:numFmt formatCode="&quot;R$&quot;\ #,##0.00" sourceLinked="1"/>
        <c:majorTickMark val="none"/>
        <c:minorTickMark val="none"/>
        <c:tickLblPos val="nextTo"/>
        <c:crossAx val="459961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sv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7" Type="http://schemas.openxmlformats.org/officeDocument/2006/relationships/image" Target="../media/image6.png"/><Relationship Id="rId2" Type="http://schemas.openxmlformats.org/officeDocument/2006/relationships/image" Target="../media/image7.png"/><Relationship Id="rId1" Type="http://schemas.openxmlformats.org/officeDocument/2006/relationships/image" Target="../media/image2.png"/><Relationship Id="rId6" Type="http://schemas.openxmlformats.org/officeDocument/2006/relationships/chart" Target="../charts/chart1.xml"/><Relationship Id="rId5" Type="http://schemas.openxmlformats.org/officeDocument/2006/relationships/image" Target="../media/image10.svg"/><Relationship Id="rId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11</xdr:col>
      <xdr:colOff>581025</xdr:colOff>
      <xdr:row>13</xdr:row>
      <xdr:rowOff>19050</xdr:rowOff>
    </xdr:from>
    <xdr:to>
      <xdr:col>12</xdr:col>
      <xdr:colOff>209550</xdr:colOff>
      <xdr:row>14</xdr:row>
      <xdr:rowOff>66675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6915150" y="2647950"/>
          <a:ext cx="238125" cy="238125"/>
        </a:xfrm>
        <a:prstGeom prst="rect">
          <a:avLst/>
        </a:prstGeom>
      </xdr:spPr>
    </xdr:pic>
    <xdr:clientData/>
  </xdr:twoCellAnchor>
  <xdr:twoCellAnchor>
    <xdr:from>
      <xdr:col>9</xdr:col>
      <xdr:colOff>76200</xdr:colOff>
      <xdr:row>12</xdr:row>
      <xdr:rowOff>133350</xdr:rowOff>
    </xdr:from>
    <xdr:to>
      <xdr:col>10</xdr:col>
      <xdr:colOff>161925</xdr:colOff>
      <xdr:row>16</xdr:row>
      <xdr:rowOff>57150</xdr:rowOff>
    </xdr:to>
    <xdr:sp macro="" textlink="">
      <xdr:nvSpPr>
        <xdr:cNvPr id="9" name="Elipse 8">
          <a:extLst>
            <a:ext uri="{FF2B5EF4-FFF2-40B4-BE49-F238E27FC236}">
              <a16:creationId xmlns:a16="http://schemas.microsoft.com/office/drawing/2014/main" id="{77505866-F9E1-4D72-A197-04B674005FDF}"/>
            </a:ext>
          </a:extLst>
        </xdr:cNvPr>
        <xdr:cNvSpPr/>
      </xdr:nvSpPr>
      <xdr:spPr>
        <a:xfrm>
          <a:off x="5191125" y="2562225"/>
          <a:ext cx="695325" cy="695325"/>
        </a:xfrm>
        <a:prstGeom prst="ellipse">
          <a:avLst/>
        </a:prstGeom>
        <a:blipFill>
          <a:blip xmlns:r="http://schemas.openxmlformats.org/officeDocument/2006/relationships" r:embed="rId5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>
    <xdr:from>
      <xdr:col>10</xdr:col>
      <xdr:colOff>285750</xdr:colOff>
      <xdr:row>12</xdr:row>
      <xdr:rowOff>142875</xdr:rowOff>
    </xdr:from>
    <xdr:to>
      <xdr:col>11</xdr:col>
      <xdr:colOff>371475</xdr:colOff>
      <xdr:row>16</xdr:row>
      <xdr:rowOff>66675</xdr:rowOff>
    </xdr:to>
    <xdr:sp macro="" textlink="">
      <xdr:nvSpPr>
        <xdr:cNvPr id="10" name="Elipse 9">
          <a:extLst>
            <a:ext uri="{FF2B5EF4-FFF2-40B4-BE49-F238E27FC236}">
              <a16:creationId xmlns:a16="http://schemas.microsoft.com/office/drawing/2014/main" id="{EAED0B10-9B9B-4C87-AA2F-D30DEB957E50}"/>
            </a:ext>
          </a:extLst>
        </xdr:cNvPr>
        <xdr:cNvSpPr/>
      </xdr:nvSpPr>
      <xdr:spPr>
        <a:xfrm>
          <a:off x="6010275" y="2571750"/>
          <a:ext cx="695325" cy="695325"/>
        </a:xfrm>
        <a:prstGeom prst="ellipse">
          <a:avLst/>
        </a:prstGeom>
        <a:blipFill>
          <a:blip xmlns:r="http://schemas.openxmlformats.org/officeDocument/2006/relationships" r:embed="rId6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60450" y="5422899"/>
          <a:ext cx="1546301" cy="755651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9">
            <a:extLst>
              <a:ext uri="{96DAC541-7B7A-43D3-8B79-37D633B846F1}">
                <asvg:svgBlip xmlns:asvg="http://schemas.microsoft.com/office/drawing/2016/SVG/main" r:embed="rId10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9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9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90714</xdr:colOff>
      <xdr:row>1</xdr:row>
      <xdr:rowOff>109764</xdr:rowOff>
    </xdr:from>
    <xdr:to>
      <xdr:col>3</xdr:col>
      <xdr:colOff>0</xdr:colOff>
      <xdr:row>2</xdr:row>
      <xdr:rowOff>281215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D56AE5B-10E1-4072-A716-2F0B9729DB5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6093" t="27964" r="71798" b="17807"/>
        <a:stretch/>
      </xdr:blipFill>
      <xdr:spPr>
        <a:xfrm>
          <a:off x="1941285" y="293914"/>
          <a:ext cx="762001" cy="67038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</xdr:row>
      <xdr:rowOff>38099</xdr:rowOff>
    </xdr:from>
    <xdr:to>
      <xdr:col>0</xdr:col>
      <xdr:colOff>1847850</xdr:colOff>
      <xdr:row>19</xdr:row>
      <xdr:rowOff>188912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Subscription Type">
              <a:extLst>
                <a:ext uri="{FF2B5EF4-FFF2-40B4-BE49-F238E27FC236}">
                  <a16:creationId xmlns:a16="http://schemas.microsoft.com/office/drawing/2014/main" id="{332DFC81-5E4E-4035-9DE0-F5FA2C89A99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681162"/>
              <a:ext cx="1847850" cy="266303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227240</xdr:colOff>
      <xdr:row>6</xdr:row>
      <xdr:rowOff>54883</xdr:rowOff>
    </xdr:from>
    <xdr:to>
      <xdr:col>10</xdr:col>
      <xdr:colOff>269875</xdr:colOff>
      <xdr:row>13</xdr:row>
      <xdr:rowOff>112706</xdr:rowOff>
    </xdr:to>
    <xdr:grpSp>
      <xdr:nvGrpSpPr>
        <xdr:cNvPr id="12" name="Agrupar 11">
          <a:extLst>
            <a:ext uri="{FF2B5EF4-FFF2-40B4-BE49-F238E27FC236}">
              <a16:creationId xmlns:a16="http://schemas.microsoft.com/office/drawing/2014/main" id="{137D1662-071E-D695-E795-BA3D790FD74E}"/>
            </a:ext>
          </a:extLst>
        </xdr:cNvPr>
        <xdr:cNvGrpSpPr/>
      </xdr:nvGrpSpPr>
      <xdr:grpSpPr>
        <a:xfrm>
          <a:off x="2072709" y="1578883"/>
          <a:ext cx="5138510" cy="1546104"/>
          <a:chOff x="2074636" y="1587954"/>
          <a:chExt cx="5153025" cy="1554609"/>
        </a:xfrm>
      </xdr:grpSpPr>
      <xdr:sp macro="" textlink="">
        <xdr:nvSpPr>
          <xdr:cNvPr id="7" name="Retângulo: Cantos Arredondados 6">
            <a:extLst>
              <a:ext uri="{FF2B5EF4-FFF2-40B4-BE49-F238E27FC236}">
                <a16:creationId xmlns:a16="http://schemas.microsoft.com/office/drawing/2014/main" id="{84132B94-1704-FB7B-32B0-5D7C6E177E99}"/>
              </a:ext>
            </a:extLst>
          </xdr:cNvPr>
          <xdr:cNvSpPr/>
        </xdr:nvSpPr>
        <xdr:spPr>
          <a:xfrm>
            <a:off x="2079169" y="1590216"/>
            <a:ext cx="5148492" cy="1550766"/>
          </a:xfrm>
          <a:prstGeom prst="roundRect">
            <a:avLst>
              <a:gd name="adj" fmla="val 9037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sp macro="" textlink="C̳álculos!E22">
        <xdr:nvSpPr>
          <xdr:cNvPr id="8" name="Retângulo: Cantos Arredondados 7">
            <a:extLst>
              <a:ext uri="{FF2B5EF4-FFF2-40B4-BE49-F238E27FC236}">
                <a16:creationId xmlns:a16="http://schemas.microsoft.com/office/drawing/2014/main" id="{F57DC9FB-428C-4414-964B-BF4A99451DF7}"/>
              </a:ext>
            </a:extLst>
          </xdr:cNvPr>
          <xdr:cNvSpPr/>
        </xdr:nvSpPr>
        <xdr:spPr>
          <a:xfrm>
            <a:off x="3919091" y="2074094"/>
            <a:ext cx="3018015" cy="926574"/>
          </a:xfrm>
          <a:prstGeom prst="roundRect">
            <a:avLst>
              <a:gd name="adj" fmla="val 9037"/>
            </a:avLst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13CC67EC-EC2A-46CF-80A7-FBA0A2FF2018}" type="TxLink">
              <a:rPr lang="en-US" sz="4000" b="0" i="0" u="none" strike="noStrike">
                <a:solidFill>
                  <a:srgbClr val="22C55E"/>
                </a:solidFill>
                <a:latin typeface="Aptos Narrow"/>
              </a:rPr>
              <a:pPr algn="ctr"/>
              <a:t>R$ 600,00</a:t>
            </a:fld>
            <a:endParaRPr lang="pt-BR" sz="4000">
              <a:solidFill>
                <a:srgbClr val="22C55E"/>
              </a:solidFill>
            </a:endParaRPr>
          </a:p>
        </xdr:txBody>
      </xdr:sp>
      <xdr:pic>
        <xdr:nvPicPr>
          <xdr:cNvPr id="9" name="Imagem 8">
            <a:extLst>
              <a:ext uri="{FF2B5EF4-FFF2-40B4-BE49-F238E27FC236}">
                <a16:creationId xmlns:a16="http://schemas.microsoft.com/office/drawing/2014/main" id="{7ACFDC56-8B44-48A2-A620-3625A8C5F32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760700" y="1925850"/>
            <a:ext cx="1218449" cy="1216713"/>
          </a:xfrm>
          <a:prstGeom prst="rect">
            <a:avLst/>
          </a:prstGeom>
        </xdr:spPr>
      </xdr:pic>
      <xdr:sp macro="" textlink="">
        <xdr:nvSpPr>
          <xdr:cNvPr id="10" name="Retângulo: Cantos Superiores Arredondados 9">
            <a:extLst>
              <a:ext uri="{FF2B5EF4-FFF2-40B4-BE49-F238E27FC236}">
                <a16:creationId xmlns:a16="http://schemas.microsoft.com/office/drawing/2014/main" id="{6800D940-C151-6105-E610-0A878136A584}"/>
              </a:ext>
            </a:extLst>
          </xdr:cNvPr>
          <xdr:cNvSpPr/>
        </xdr:nvSpPr>
        <xdr:spPr>
          <a:xfrm>
            <a:off x="2074636" y="1587954"/>
            <a:ext cx="5146225" cy="377054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200" b="1" i="0">
                <a:latin typeface="Segoe UI" panose="020B0502040204020203" pitchFamily="34" charset="0"/>
                <a:cs typeface="Segoe UI" panose="020B0502040204020203" pitchFamily="34" charset="0"/>
              </a:rPr>
              <a:t>TOTAL SUBSCRIPTIONS EA PLAY SEASON PASS</a:t>
            </a:r>
          </a:p>
        </xdr:txBody>
      </xdr:sp>
    </xdr:grpSp>
    <xdr:clientData/>
  </xdr:twoCellAnchor>
  <xdr:twoCellAnchor>
    <xdr:from>
      <xdr:col>11</xdr:col>
      <xdr:colOff>189139</xdr:colOff>
      <xdr:row>6</xdr:row>
      <xdr:rowOff>55673</xdr:rowOff>
    </xdr:from>
    <xdr:to>
      <xdr:col>20</xdr:col>
      <xdr:colOff>41274</xdr:colOff>
      <xdr:row>13</xdr:row>
      <xdr:rowOff>111915</xdr:rowOff>
    </xdr:to>
    <xdr:grpSp>
      <xdr:nvGrpSpPr>
        <xdr:cNvPr id="21" name="Agrupar 20">
          <a:extLst>
            <a:ext uri="{FF2B5EF4-FFF2-40B4-BE49-F238E27FC236}">
              <a16:creationId xmlns:a16="http://schemas.microsoft.com/office/drawing/2014/main" id="{B1E07ED2-E7E1-D07E-71CA-FCA28C10CB7A}"/>
            </a:ext>
          </a:extLst>
        </xdr:cNvPr>
        <xdr:cNvGrpSpPr/>
      </xdr:nvGrpSpPr>
      <xdr:grpSpPr>
        <a:xfrm>
          <a:off x="7737702" y="1579673"/>
          <a:ext cx="5150416" cy="1544523"/>
          <a:chOff x="7754710" y="1589316"/>
          <a:chExt cx="5149850" cy="1553028"/>
        </a:xfrm>
      </xdr:grpSpPr>
      <xdr:grpSp>
        <xdr:nvGrpSpPr>
          <xdr:cNvPr id="13" name="Agrupar 12">
            <a:extLst>
              <a:ext uri="{FF2B5EF4-FFF2-40B4-BE49-F238E27FC236}">
                <a16:creationId xmlns:a16="http://schemas.microsoft.com/office/drawing/2014/main" id="{DFE2F626-359A-43F0-B4AB-B79F40FD476C}"/>
              </a:ext>
            </a:extLst>
          </xdr:cNvPr>
          <xdr:cNvGrpSpPr/>
        </xdr:nvGrpSpPr>
        <xdr:grpSpPr>
          <a:xfrm>
            <a:off x="7754710" y="1589316"/>
            <a:ext cx="5149850" cy="1553028"/>
            <a:chOff x="2074636" y="1587954"/>
            <a:chExt cx="5153025" cy="1553028"/>
          </a:xfrm>
        </xdr:grpSpPr>
        <xdr:sp macro="" textlink="">
          <xdr:nvSpPr>
            <xdr:cNvPr id="14" name="Retângulo: Cantos Arredondados 13">
              <a:extLst>
                <a:ext uri="{FF2B5EF4-FFF2-40B4-BE49-F238E27FC236}">
                  <a16:creationId xmlns:a16="http://schemas.microsoft.com/office/drawing/2014/main" id="{1FD4DB3A-A75C-39FE-5622-0837A6AE2805}"/>
                </a:ext>
              </a:extLst>
            </xdr:cNvPr>
            <xdr:cNvSpPr/>
          </xdr:nvSpPr>
          <xdr:spPr>
            <a:xfrm>
              <a:off x="2079169" y="1590216"/>
              <a:ext cx="5148492" cy="1550766"/>
            </a:xfrm>
            <a:prstGeom prst="roundRect">
              <a:avLst>
                <a:gd name="adj" fmla="val 9037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sp macro="" textlink="C̳álculos!E33">
          <xdr:nvSpPr>
            <xdr:cNvPr id="15" name="Retângulo: Cantos Arredondados 14">
              <a:extLst>
                <a:ext uri="{FF2B5EF4-FFF2-40B4-BE49-F238E27FC236}">
                  <a16:creationId xmlns:a16="http://schemas.microsoft.com/office/drawing/2014/main" id="{CECAABF5-80D5-5AC6-F723-5B43480BC7E4}"/>
                </a:ext>
              </a:extLst>
            </xdr:cNvPr>
            <xdr:cNvSpPr/>
          </xdr:nvSpPr>
          <xdr:spPr>
            <a:xfrm>
              <a:off x="3919091" y="2074094"/>
              <a:ext cx="3018015" cy="926574"/>
            </a:xfrm>
            <a:prstGeom prst="roundRect">
              <a:avLst>
                <a:gd name="adj" fmla="val 9037"/>
              </a:avLst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5CD92CBB-0CFE-4DD0-A162-2321D46F1141}" type="TxLink">
                <a:rPr lang="en-US" sz="4000" b="0" i="0" u="none" strike="noStrike">
                  <a:solidFill>
                    <a:srgbClr val="22C55E"/>
                  </a:solidFill>
                  <a:latin typeface="Aptos Narrow"/>
                </a:rPr>
                <a:t>R$ 940,00</a:t>
              </a:fld>
              <a:endParaRPr lang="pt-BR" sz="11500">
                <a:solidFill>
                  <a:srgbClr val="22C55E"/>
                </a:solidFill>
              </a:endParaRPr>
            </a:p>
          </xdr:txBody>
        </xdr:sp>
        <xdr:sp macro="" textlink="">
          <xdr:nvSpPr>
            <xdr:cNvPr id="17" name="Retângulo: Cantos Superiores Arredondados 16">
              <a:extLst>
                <a:ext uri="{FF2B5EF4-FFF2-40B4-BE49-F238E27FC236}">
                  <a16:creationId xmlns:a16="http://schemas.microsoft.com/office/drawing/2014/main" id="{6368796C-9FD3-3672-85F9-490EB0C922A3}"/>
                </a:ext>
              </a:extLst>
            </xdr:cNvPr>
            <xdr:cNvSpPr/>
          </xdr:nvSpPr>
          <xdr:spPr>
            <a:xfrm>
              <a:off x="2074636" y="1587954"/>
              <a:ext cx="5146225" cy="377054"/>
            </a:xfrm>
            <a:prstGeom prst="round2SameRect">
              <a:avLst/>
            </a:prstGeom>
            <a:solidFill>
              <a:srgbClr val="22C55E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200" b="1" i="0">
                  <a:latin typeface="Segoe UI" panose="020B0502040204020203" pitchFamily="34" charset="0"/>
                  <a:cs typeface="Segoe UI" panose="020B0502040204020203" pitchFamily="34" charset="0"/>
                </a:rPr>
                <a:t>TOTAL SUBSCRIPTIONS MINECRAFT SEASON PASS</a:t>
              </a:r>
            </a:p>
          </xdr:txBody>
        </xdr:sp>
      </xdr:grpSp>
      <xdr:grpSp>
        <xdr:nvGrpSpPr>
          <xdr:cNvPr id="18" name="Agrupar 17">
            <a:extLst>
              <a:ext uri="{FF2B5EF4-FFF2-40B4-BE49-F238E27FC236}">
                <a16:creationId xmlns:a16="http://schemas.microsoft.com/office/drawing/2014/main" id="{10C24C0F-AFD6-461A-8D5C-44BE497BD20E}"/>
              </a:ext>
            </a:extLst>
          </xdr:cNvPr>
          <xdr:cNvGrpSpPr/>
        </xdr:nvGrpSpPr>
        <xdr:grpSpPr>
          <a:xfrm>
            <a:off x="8291286" y="2222953"/>
            <a:ext cx="1299105" cy="535216"/>
            <a:chOff x="3495675" y="5400674"/>
            <a:chExt cx="1549476" cy="752476"/>
          </a:xfrm>
        </xdr:grpSpPr>
        <xdr:pic>
          <xdr:nvPicPr>
            <xdr:cNvPr id="19" name="Imagem 18">
              <a:extLst>
                <a:ext uri="{FF2B5EF4-FFF2-40B4-BE49-F238E27FC236}">
                  <a16:creationId xmlns:a16="http://schemas.microsoft.com/office/drawing/2014/main" id="{60904B68-F7A9-F6B8-A277-9FAE106EBB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998608" y="5400674"/>
              <a:ext cx="555497" cy="609599"/>
            </a:xfrm>
            <a:prstGeom prst="rect">
              <a:avLst/>
            </a:prstGeom>
          </xdr:spPr>
        </xdr:pic>
        <xdr:pic>
          <xdr:nvPicPr>
            <xdr:cNvPr id="20" name="Gráfico 19">
              <a:extLst>
                <a:ext uri="{FF2B5EF4-FFF2-40B4-BE49-F238E27FC236}">
                  <a16:creationId xmlns:a16="http://schemas.microsoft.com/office/drawing/2014/main" id="{58EBBBA6-E890-4DE3-E11C-503FCC1F1B4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>
              <a:extLst>
                <a:ext uri="{96DAC541-7B7A-43D3-8B79-37D633B846F1}">
                  <asvg:svgBlip xmlns:asvg="http://schemas.microsoft.com/office/drawing/2016/SVG/main" r:embed="rId5"/>
                </a:ext>
              </a:extLst>
            </a:blip>
            <a:stretch>
              <a:fillRect/>
            </a:stretch>
          </xdr:blipFill>
          <xdr:spPr>
            <a:xfrm>
              <a:off x="3495675" y="5895937"/>
              <a:ext cx="1549476" cy="257213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</xdr:col>
      <xdr:colOff>232454</xdr:colOff>
      <xdr:row>15</xdr:row>
      <xdr:rowOff>33563</xdr:rowOff>
    </xdr:from>
    <xdr:to>
      <xdr:col>20</xdr:col>
      <xdr:colOff>41274</xdr:colOff>
      <xdr:row>33</xdr:row>
      <xdr:rowOff>17688</xdr:rowOff>
    </xdr:to>
    <xdr:grpSp>
      <xdr:nvGrpSpPr>
        <xdr:cNvPr id="29" name="Agrupar 28">
          <a:extLst>
            <a:ext uri="{FF2B5EF4-FFF2-40B4-BE49-F238E27FC236}">
              <a16:creationId xmlns:a16="http://schemas.microsoft.com/office/drawing/2014/main" id="{0FDDE5CD-E4C9-BBE4-A69A-A172C7E079A1}"/>
            </a:ext>
          </a:extLst>
        </xdr:cNvPr>
        <xdr:cNvGrpSpPr/>
      </xdr:nvGrpSpPr>
      <xdr:grpSpPr>
        <a:xfrm>
          <a:off x="2077923" y="3426844"/>
          <a:ext cx="10810195" cy="3413125"/>
          <a:chOff x="2083025" y="3444420"/>
          <a:chExt cx="10871429" cy="3413125"/>
        </a:xfrm>
      </xdr:grpSpPr>
      <xdr:grpSp>
        <xdr:nvGrpSpPr>
          <xdr:cNvPr id="6" name="Agrupar 5">
            <a:extLst>
              <a:ext uri="{FF2B5EF4-FFF2-40B4-BE49-F238E27FC236}">
                <a16:creationId xmlns:a16="http://schemas.microsoft.com/office/drawing/2014/main" id="{5F14E1DC-44CA-555A-FDC0-505939B93122}"/>
              </a:ext>
            </a:extLst>
          </xdr:cNvPr>
          <xdr:cNvGrpSpPr/>
        </xdr:nvGrpSpPr>
        <xdr:grpSpPr>
          <a:xfrm>
            <a:off x="2083025" y="3462564"/>
            <a:ext cx="10871429" cy="3394981"/>
            <a:chOff x="2598736" y="839942"/>
            <a:chExt cx="5192713" cy="3393920"/>
          </a:xfrm>
        </xdr:grpSpPr>
        <xdr:sp macro="" textlink="">
          <xdr:nvSpPr>
            <xdr:cNvPr id="5" name="Retângulo: Cantos Arredondados 4">
              <a:extLst>
                <a:ext uri="{FF2B5EF4-FFF2-40B4-BE49-F238E27FC236}">
                  <a16:creationId xmlns:a16="http://schemas.microsoft.com/office/drawing/2014/main" id="{A39AD4B0-0DA6-F339-A0C5-CA5B6D15B20B}"/>
                </a:ext>
              </a:extLst>
            </xdr:cNvPr>
            <xdr:cNvSpPr/>
          </xdr:nvSpPr>
          <xdr:spPr>
            <a:xfrm>
              <a:off x="2598736" y="839942"/>
              <a:ext cx="5192713" cy="3389161"/>
            </a:xfrm>
            <a:prstGeom prst="roundRect">
              <a:avLst>
                <a:gd name="adj" fmla="val 5720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>
                <a:solidFill>
                  <a:srgbClr val="22C55E"/>
                </a:solidFill>
              </a:endParaRPr>
            </a:p>
          </xdr:txBody>
        </xdr:sp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57431833-069C-4730-AB49-3390CC408D95}"/>
                </a:ext>
              </a:extLst>
            </xdr:cNvPr>
            <xdr:cNvGraphicFramePr>
              <a:graphicFrameLocks/>
            </xdr:cNvGraphicFramePr>
          </xdr:nvGraphicFramePr>
          <xdr:xfrm>
            <a:off x="2982912" y="1493837"/>
            <a:ext cx="4581525" cy="2740025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</xdr:grpSp>
      <xdr:sp macro="" textlink="">
        <xdr:nvSpPr>
          <xdr:cNvPr id="28" name="Retângulo: Cantos Superiores Arredondados 27">
            <a:extLst>
              <a:ext uri="{FF2B5EF4-FFF2-40B4-BE49-F238E27FC236}">
                <a16:creationId xmlns:a16="http://schemas.microsoft.com/office/drawing/2014/main" id="{0F89B855-EA84-4C7C-A3D8-1AABF7E0591A}"/>
              </a:ext>
            </a:extLst>
          </xdr:cNvPr>
          <xdr:cNvSpPr/>
        </xdr:nvSpPr>
        <xdr:spPr>
          <a:xfrm>
            <a:off x="2092778" y="3444420"/>
            <a:ext cx="10861222" cy="380229"/>
          </a:xfrm>
          <a:prstGeom prst="round2SameRect">
            <a:avLst/>
          </a:prstGeom>
          <a:solidFill>
            <a:srgbClr val="22C55E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200" b="1" i="0">
                <a:latin typeface="Segoe UI" panose="020B0502040204020203" pitchFamily="34" charset="0"/>
                <a:cs typeface="Segoe UI" panose="020B0502040204020203" pitchFamily="34" charset="0"/>
              </a:rPr>
              <a:t>TOTAL SUBSCRIPTIONS XBOX GAME PASS</a:t>
            </a:r>
          </a:p>
        </xdr:txBody>
      </xdr:sp>
    </xdr:grpSp>
    <xdr:clientData/>
  </xdr:twoCellAnchor>
  <xdr:twoCellAnchor editAs="absolute">
    <xdr:from>
      <xdr:col>0</xdr:col>
      <xdr:colOff>417061</xdr:colOff>
      <xdr:row>1</xdr:row>
      <xdr:rowOff>0</xdr:rowOff>
    </xdr:from>
    <xdr:to>
      <xdr:col>0</xdr:col>
      <xdr:colOff>1313886</xdr:colOff>
      <xdr:row>2</xdr:row>
      <xdr:rowOff>401071</xdr:rowOff>
    </xdr:to>
    <xdr:sp macro="" textlink="">
      <xdr:nvSpPr>
        <xdr:cNvPr id="30" name="Elipse 29">
          <a:extLst>
            <a:ext uri="{FF2B5EF4-FFF2-40B4-BE49-F238E27FC236}">
              <a16:creationId xmlns:a16="http://schemas.microsoft.com/office/drawing/2014/main" id="{88F4764B-BBDD-4A0F-8238-C540FF0BD593}"/>
            </a:ext>
          </a:extLst>
        </xdr:cNvPr>
        <xdr:cNvSpPr/>
      </xdr:nvSpPr>
      <xdr:spPr>
        <a:xfrm>
          <a:off x="417061" y="190500"/>
          <a:ext cx="896825" cy="900000"/>
        </a:xfrm>
        <a:prstGeom prst="ellipse">
          <a:avLst/>
        </a:prstGeom>
        <a:blipFill>
          <a:blip xmlns:r="http://schemas.openxmlformats.org/officeDocument/2006/relationships" r:embed="rId7"/>
          <a:stretch>
            <a:fillRect/>
          </a:stretch>
        </a:blip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 kern="1200"/>
        </a:p>
      </xdr:txBody>
    </xdr:sp>
    <xdr:clientData/>
  </xdr:twoCellAnchor>
  <xdr:twoCellAnchor editAs="absolute">
    <xdr:from>
      <xdr:col>0</xdr:col>
      <xdr:colOff>0</xdr:colOff>
      <xdr:row>3</xdr:row>
      <xdr:rowOff>90714</xdr:rowOff>
    </xdr:from>
    <xdr:to>
      <xdr:col>0</xdr:col>
      <xdr:colOff>1734005</xdr:colOff>
      <xdr:row>5</xdr:row>
      <xdr:rowOff>90714</xdr:rowOff>
    </xdr:to>
    <xdr:sp macro="" textlink="">
      <xdr:nvSpPr>
        <xdr:cNvPr id="31" name="Retângulo 30">
          <a:extLst>
            <a:ext uri="{FF2B5EF4-FFF2-40B4-BE49-F238E27FC236}">
              <a16:creationId xmlns:a16="http://schemas.microsoft.com/office/drawing/2014/main" id="{4DD29A2C-1489-3899-829B-AC39169CECF3}"/>
            </a:ext>
          </a:extLst>
        </xdr:cNvPr>
        <xdr:cNvSpPr/>
      </xdr:nvSpPr>
      <xdr:spPr>
        <a:xfrm>
          <a:off x="0" y="1279071"/>
          <a:ext cx="1734005" cy="208643"/>
        </a:xfrm>
        <a:prstGeom prst="rect">
          <a:avLst/>
        </a:prstGeom>
        <a:solidFill>
          <a:srgbClr val="22C55E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400" b="1"/>
            <a:t>&gt; Bem</a:t>
          </a:r>
          <a:r>
            <a:rPr lang="pt-BR" sz="1400" b="1" baseline="0"/>
            <a:t> vindo!</a:t>
          </a:r>
          <a:endParaRPr lang="pt-BR" sz="1400" b="1"/>
        </a:p>
      </xdr:txBody>
    </xdr:sp>
    <xdr:clientData/>
  </xdr:twoCellAnchor>
  <xdr:twoCellAnchor editAs="absolute">
    <xdr:from>
      <xdr:col>1</xdr:col>
      <xdr:colOff>154778</xdr:colOff>
      <xdr:row>2</xdr:row>
      <xdr:rowOff>344713</xdr:rowOff>
    </xdr:from>
    <xdr:to>
      <xdr:col>9</xdr:col>
      <xdr:colOff>0</xdr:colOff>
      <xdr:row>5</xdr:row>
      <xdr:rowOff>114526</xdr:rowOff>
    </xdr:to>
    <xdr:sp macro="" textlink="">
      <xdr:nvSpPr>
        <xdr:cNvPr id="32" name="Retângulo 31">
          <a:extLst>
            <a:ext uri="{FF2B5EF4-FFF2-40B4-BE49-F238E27FC236}">
              <a16:creationId xmlns:a16="http://schemas.microsoft.com/office/drawing/2014/main" id="{14265B57-CE09-4D18-A727-94691A487C05}"/>
            </a:ext>
          </a:extLst>
        </xdr:cNvPr>
        <xdr:cNvSpPr/>
      </xdr:nvSpPr>
      <xdr:spPr>
        <a:xfrm>
          <a:off x="2004216" y="1027338"/>
          <a:ext cx="4361659" cy="46831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pt-BR" sz="1000" b="0">
              <a:solidFill>
                <a:schemeClr val="bg1">
                  <a:lumMod val="50000"/>
                </a:schemeClr>
              </a:solidFill>
            </a:rPr>
            <a:t>Calculation period</a:t>
          </a:r>
          <a:r>
            <a:rPr lang="pt-BR" sz="1000" b="0" baseline="0">
              <a:solidFill>
                <a:schemeClr val="bg1">
                  <a:lumMod val="50000"/>
                </a:schemeClr>
              </a:solidFill>
            </a:rPr>
            <a:t>: 20/10/2025 - 20/11/2026 | Update date: 30/12/2025 17:30</a:t>
          </a:r>
          <a:endParaRPr lang="pt-BR" sz="1000" b="0">
            <a:solidFill>
              <a:schemeClr val="bg1">
                <a:lumMod val="50000"/>
              </a:schemeClr>
            </a:solidFill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nícius Santana Lima" refreshedDate="46021.651797916667" createdVersion="8" refreshedVersion="8" minRefreshableVersion="3" recordCount="295" xr:uid="{E1179B8D-F2CA-4893-8B74-514023EADAC4}">
  <cacheSource type="worksheet">
    <worksheetSource name="Tabela1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 count="280">
        <s v="João Silva"/>
        <s v="Maria Oliveira"/>
        <s v="Lucas Fernandes"/>
        <s v="Ana Souza"/>
        <s v="Pedro Gonçalves"/>
        <s v="Felipe Costa"/>
        <s v="Camila Ribeiro"/>
        <s v="André Mendes"/>
        <s v="Sofia Almeida"/>
        <s v="Bruno Martins"/>
        <s v="Rita Castro"/>
        <s v="Marco Túlio"/>
        <s v="Lívia Silveira"/>
        <s v="Diogo Sousa"/>
        <s v="Fernanda Lima"/>
        <s v="Caio Pereira"/>
        <s v="Beatriz Gomes"/>
        <s v="Cesar Oliveira"/>
        <s v="Débora Machado"/>
        <s v="Eduardo Vargas"/>
        <s v="Gabriela Santos"/>
        <s v="Henrique Dias"/>
        <s v="Isabela Moreira"/>
        <s v="Joaquim Barbosa"/>
        <s v="Lara Rocha"/>
        <s v="Matheus Silva"/>
        <s v="Nicole Costa"/>
        <s v="Otávio Mendonça"/>
        <s v="Paula Ferreira"/>
        <s v="Raquel Alves"/>
        <s v="Samuel Pires"/>
        <s v="Tânia Barros"/>
        <s v="Vinicius Lima"/>
        <s v="Yasmin Teixeira"/>
        <s v="Zé Carlos"/>
        <s v="Amanda Nogueira"/>
        <s v="Bruno Cavalheiro"/>
        <s v="Carla Dias"/>
        <s v="Diego Fontes"/>
        <s v="Eunice Lima"/>
        <s v="Fábio Martins"/>
        <s v="Gisele Araújo"/>
        <s v="Hélio Castro"/>
        <s v="Ingrid Menezes"/>
        <s v="Jorge Baptista"/>
        <s v="Kléber Oliveira"/>
        <s v="Luciana Freitas"/>
        <s v="Márcia Eller"/>
        <s v="Nilo Peçanha"/>
        <s v="Oscar Neves"/>
        <s v="Patrícia Soares"/>
        <s v="Quirino Gonçalves"/>
        <s v="Raul Machado"/>
        <s v="Sônia Lobo"/>
        <s v="Tiago Ramos"/>
        <s v="Ugo Pires"/>
        <s v="Valéria Nobre"/>
        <s v="William Siqueira"/>
        <s v="Xuxa Meneghel"/>
        <s v="Yara Figueiredo"/>
        <s v="Zacarias Alves"/>
        <s v="Amanda Bynes"/>
        <s v="Bruno Mars"/>
        <s v="Carla Bruni"/>
        <s v="Diego Maradona"/>
        <s v="Estela Marques"/>
        <s v="Fábio Nobre"/>
        <s v="Gabriel Oliveira"/>
        <s v="Helena Santos"/>
        <s v="Ivan Carvalho"/>
        <s v="Júlia Ferreira"/>
        <s v="Karla Alves"/>
        <s v="Lucas Mendes"/>
        <s v="Mônica Gomes"/>
        <s v="Norberto Queiroz"/>
        <s v="Otávio Barros"/>
        <s v="Paula Vieira"/>
        <s v="Quentin Ramos"/>
        <s v="Raquel Novaes"/>
        <s v="Samantha Lopes"/>
        <s v="Tiago Martins"/>
        <s v="Ulysses Guimarães"/>
        <s v="Vanessa Silva"/>
        <s v="William Carneiro"/>
        <s v="Ximena Rocha"/>
        <s v="Yasmin Figueiredo"/>
        <s v="Zara Cunha"/>
        <s v="Alan Teixeira"/>
        <s v="Bárbara Oliveira"/>
        <s v="Carlos Junqueira"/>
        <s v="Daniela Moura"/>
        <s v="Eduardo Lima"/>
        <s v="Fabiana Araújo"/>
        <s v="Geraldo Ribeiro"/>
        <s v="Héctor Vargas"/>
        <s v="Isabela Fonseca"/>
        <s v="João Pedro Almeida"/>
        <s v="Klara Costa"/>
        <s v="Luciana Mendes"/>
        <s v="Marcelo Gouveia"/>
        <s v="Nívea Borges"/>
        <s v="Oscar Nogueira"/>
        <s v="Patrícia Alves"/>
        <s v="Rafaela Silva"/>
        <s v="Samantha Moraes"/>
        <s v="Tatiana Rocha"/>
        <s v="Ulisses Tavares"/>
        <s v="Víctor Lemos"/>
        <s v="Wilma Barros"/>
        <s v="Xavier Nascimento"/>
        <s v="Yago Pereira"/>
        <s v="Zilda Ferreira"/>
        <s v="Amanda Lopes"/>
        <s v="Bruno Miranda"/>
        <s v="Célia Torres"/>
        <s v="Diogo Souza"/>
        <s v="Elisa Castro"/>
        <s v="Fátima Lima"/>
        <s v="Hélio Martins"/>
        <s v="Íris Santos"/>
        <s v="João Marcelo"/>
        <s v="Larissa Gomes"/>
        <s v="Márcio Silva"/>
        <s v="Nadia Costa"/>
        <s v="Oscar Almeida"/>
        <s v="Patricia Soares"/>
        <s v="Quênia Barros"/>
        <s v="Rafael Torres"/>
        <s v="Silvia Nascimento"/>
        <s v="Tiago Mendes"/>
        <s v="Ursula Silva"/>
        <s v="Vanessa Moraes"/>
        <s v="Waldir Junior"/>
        <s v="Xavier Lopes"/>
        <s v="Yolanda Freitas"/>
        <s v="Zacarias Nunes"/>
        <s v="Ana Clara Barreto"/>
        <s v="Bruno Henrique"/>
        <s v="Carlos Eduardo"/>
        <s v="Débora Lima"/>
        <s v="Elisa Neves"/>
        <s v="Fabiano Gomes"/>
        <s v="Gisele Oliveira"/>
        <s v="Héctor Silva"/>
        <s v="Igor Martins"/>
        <s v="Joana Figueiredo"/>
        <s v="Kleber Machado"/>
        <s v="Luciana Santos"/>
        <s v="Marcos Teixeira"/>
        <s v="Natalia Costa"/>
        <s v="Oscar Ribeiro"/>
        <s v="Patricia Almeida"/>
        <s v="Quirino Junior"/>
        <s v="Renata Machado"/>
        <s v="Sônia Alves"/>
        <s v="Tiago Nunes"/>
        <s v="Ulysses Pereira"/>
        <s v="Vanessa Lima"/>
        <s v="Wagner Santos"/>
        <s v="Yasmin Silva"/>
        <s v="Zacarias de Souza"/>
        <s v="André Lima"/>
        <s v="Bianca Freitas"/>
        <s v="Caio Mendes"/>
        <s v="Eduardo Costa"/>
        <s v="Fernanda Gomes"/>
        <s v="Guilherme Souza"/>
        <s v="Helena Ribeiro"/>
        <s v="Igor Santos"/>
        <s v="João Carvalho"/>
        <s v="Klara Fagundes"/>
        <s v="Lúcia Mendonça"/>
        <s v="Marcelo Novaes"/>
        <s v="Nina Pacheco"/>
        <s v="Olívia Rios"/>
        <s v="Paulo Quintana"/>
        <s v="Raquel Domingos"/>
        <s v="Samuel Viana"/>
        <s v="Tatiane Rocha"/>
        <s v="Ulysses Farias"/>
        <s v="Vanessa Moreira"/>
        <s v="William Carvalho"/>
        <s v="Ximena Barros"/>
        <s v="Yara Machado"/>
        <s v="Zacarias Costa"/>
        <s v="André Lopes"/>
        <s v="Beatriz Souza"/>
        <s v="Daniela Araújo"/>
        <s v="Eduardo Santos"/>
        <s v="Gabriel Teixeira"/>
        <s v="Igor Mendes"/>
        <s v="Joana Silveira"/>
        <s v="Lucas Martins"/>
        <s v="Marcela Gouveia"/>
        <s v="Nicolas Borges"/>
        <s v="Olivia Freitas"/>
        <s v="Paulo Nogueira"/>
        <s v="Raquel Andrade"/>
        <s v="Sônia Carvalho"/>
        <s v="Tiago Rodrigues"/>
        <s v="Ursula Monteiro"/>
        <s v="Vanessa Pereira"/>
        <s v="Walter Silva"/>
        <s v="Xavier Almeida"/>
        <s v="Yasmine Correia"/>
        <s v="Zacarias Almeida"/>
        <s v="Amanda Costa"/>
        <s v="Bruno Ferreira"/>
        <s v="Diogo Martins"/>
        <s v="Elisa Campos"/>
        <s v="Fabiana Lima"/>
        <s v="Gabriel Santos"/>
        <s v="Helena Ferreira"/>
        <s v="Ígor Nunes"/>
        <s v="Luciana Morais"/>
        <s v="Marcos Vinícius"/>
        <s v="Natália Barros"/>
        <s v="Oscar Sampaio"/>
        <s v="Patrícia Leite"/>
        <s v="Quênia Rocha"/>
        <s v="Sandra Gouveia"/>
        <s v="Tiago Lacerda"/>
        <s v="Ursula Fonseca"/>
        <s v="Vanessa Andrade"/>
        <s v="William Castro"/>
        <s v="Xavier Monteiro"/>
        <s v="Yasmin Figueira"/>
        <s v="Zacarias Mendonça"/>
        <s v="Amanda Menezes"/>
        <s v="Bruno Santos"/>
        <s v="Carla Ferreira"/>
        <s v="Diogo Alves"/>
        <s v="Fabiano Pires"/>
        <s v="Giovana Ribeiro"/>
        <s v="Hélio Costa"/>
        <s v="Íris Loureiro"/>
        <s v="João Pereira"/>
        <s v="Klara Silva"/>
        <s v="Luciana Barros"/>
        <s v="Marcos Gomes"/>
        <s v="Natália Soares"/>
        <s v="Oscar Machado"/>
        <s v="Patrícia Lima"/>
        <s v="Quirino Neto"/>
        <s v="Rafaela Souza"/>
        <s v="Sandro Almeida"/>
        <s v="Tânia Ribeiro"/>
        <s v="Ugo Dias"/>
        <s v="Valéria Lima"/>
        <s v="William Fernandes"/>
        <s v="Xuxa Mendes"/>
        <s v="Ygor Farias"/>
        <s v="Zilda Barros"/>
        <s v="Amanda Santos"/>
        <s v="Bruno Costa"/>
        <s v="Carla Rodrigues"/>
        <s v="Diogo Pereira"/>
        <s v="Elisa Correia"/>
        <s v="Fábio Lourenço"/>
        <s v="Gabriela Neves"/>
        <s v="Henrique Gonçalves"/>
        <s v="João Marcelo Alves"/>
        <s v="Klara Fonseca"/>
        <s v="Lucas Mendonça"/>
        <s v="Marcela Torres"/>
        <s v="Natália Castro"/>
        <s v="Oscar Martins"/>
        <s v="Patrícia Oliveira"/>
        <s v="Quentin Nogueira"/>
        <s v="Raquel Silva"/>
        <s v="Sandro Gomes"/>
        <s v="Tânia Machado"/>
        <s v="Xavier Reis"/>
        <s v="Yasmin Rocha"/>
        <s v="Zacarias Duarte"/>
        <s v="Amanda Freitas"/>
        <s v="Bruno Almeida"/>
        <s v="Carla Siqueira"/>
        <s v="Diogo Ramos"/>
        <s v="Elisa Magalhães"/>
      </sharedItems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 count="2">
        <n v="30"/>
        <s v="-"/>
      </sharedItems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16772740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x v="0"/>
    <x v="0"/>
    <d v="2024-01-01T00:00:00"/>
    <x v="0"/>
    <n v="15"/>
    <x v="0"/>
    <s v="Yes"/>
    <x v="0"/>
    <s v="Yes"/>
    <n v="20"/>
    <n v="5"/>
    <n v="60"/>
  </r>
  <r>
    <n v="3232"/>
    <x v="1"/>
    <x v="1"/>
    <d v="2024-01-15T00:00:00"/>
    <x v="1"/>
    <n v="5"/>
    <x v="1"/>
    <s v="No"/>
    <x v="1"/>
    <s v="No"/>
    <n v="0"/>
    <n v="0"/>
    <n v="5"/>
  </r>
  <r>
    <n v="3233"/>
    <x v="2"/>
    <x v="2"/>
    <d v="2024-02-10T00:00:00"/>
    <x v="0"/>
    <n v="10"/>
    <x v="2"/>
    <s v="No"/>
    <x v="1"/>
    <s v="Yes"/>
    <n v="20"/>
    <n v="10"/>
    <n v="20"/>
  </r>
  <r>
    <n v="3234"/>
    <x v="3"/>
    <x v="0"/>
    <d v="2024-02-20T00:00:00"/>
    <x v="1"/>
    <n v="15"/>
    <x v="0"/>
    <s v="Yes"/>
    <x v="0"/>
    <s v="Yes"/>
    <n v="20"/>
    <n v="3"/>
    <n v="62"/>
  </r>
  <r>
    <n v="3235"/>
    <x v="4"/>
    <x v="1"/>
    <d v="2024-03-05T00:00:00"/>
    <x v="0"/>
    <n v="5"/>
    <x v="0"/>
    <s v="No"/>
    <x v="1"/>
    <s v="No"/>
    <n v="0"/>
    <n v="1"/>
    <n v="4"/>
  </r>
  <r>
    <n v="3236"/>
    <x v="5"/>
    <x v="2"/>
    <d v="2024-03-02T00:00:00"/>
    <x v="1"/>
    <n v="10"/>
    <x v="0"/>
    <s v="No"/>
    <x v="1"/>
    <s v="Yes"/>
    <n v="20"/>
    <n v="2"/>
    <n v="28"/>
  </r>
  <r>
    <n v="3237"/>
    <x v="6"/>
    <x v="0"/>
    <d v="2024-03-03T00:00:00"/>
    <x v="0"/>
    <n v="15"/>
    <x v="2"/>
    <s v="Yes"/>
    <x v="0"/>
    <s v="Yes"/>
    <n v="20"/>
    <n v="10"/>
    <n v="55"/>
  </r>
  <r>
    <n v="3238"/>
    <x v="7"/>
    <x v="1"/>
    <d v="2024-03-04T00:00:00"/>
    <x v="0"/>
    <n v="5"/>
    <x v="1"/>
    <s v="No"/>
    <x v="1"/>
    <s v="No"/>
    <n v="0"/>
    <n v="0"/>
    <n v="5"/>
  </r>
  <r>
    <n v="3239"/>
    <x v="8"/>
    <x v="0"/>
    <d v="2024-03-05T00:00:00"/>
    <x v="1"/>
    <n v="15"/>
    <x v="0"/>
    <s v="Yes"/>
    <x v="0"/>
    <s v="Yes"/>
    <n v="20"/>
    <n v="5"/>
    <n v="60"/>
  </r>
  <r>
    <n v="3240"/>
    <x v="9"/>
    <x v="2"/>
    <d v="2024-03-06T00:00:00"/>
    <x v="0"/>
    <n v="10"/>
    <x v="2"/>
    <s v="No"/>
    <x v="1"/>
    <s v="Yes"/>
    <n v="20"/>
    <n v="15"/>
    <n v="15"/>
  </r>
  <r>
    <n v="3241"/>
    <x v="10"/>
    <x v="1"/>
    <d v="2024-03-07T00:00:00"/>
    <x v="1"/>
    <n v="5"/>
    <x v="0"/>
    <s v="No"/>
    <x v="1"/>
    <s v="No"/>
    <n v="0"/>
    <n v="1"/>
    <n v="4"/>
  </r>
  <r>
    <n v="3242"/>
    <x v="11"/>
    <x v="0"/>
    <d v="2024-03-08T00:00:00"/>
    <x v="0"/>
    <n v="15"/>
    <x v="1"/>
    <s v="Yes"/>
    <x v="0"/>
    <s v="Yes"/>
    <n v="20"/>
    <n v="20"/>
    <n v="45"/>
  </r>
  <r>
    <n v="3243"/>
    <x v="12"/>
    <x v="2"/>
    <d v="2024-03-09T00:00:00"/>
    <x v="1"/>
    <n v="10"/>
    <x v="0"/>
    <s v="No"/>
    <x v="1"/>
    <s v="Yes"/>
    <n v="20"/>
    <n v="10"/>
    <n v="20"/>
  </r>
  <r>
    <n v="3244"/>
    <x v="13"/>
    <x v="1"/>
    <d v="2024-03-10T00:00:00"/>
    <x v="0"/>
    <n v="5"/>
    <x v="2"/>
    <s v="No"/>
    <x v="1"/>
    <s v="No"/>
    <n v="0"/>
    <n v="0"/>
    <n v="5"/>
  </r>
  <r>
    <n v="3245"/>
    <x v="14"/>
    <x v="0"/>
    <d v="2024-03-11T00:00:00"/>
    <x v="1"/>
    <n v="15"/>
    <x v="0"/>
    <s v="Yes"/>
    <x v="0"/>
    <s v="Yes"/>
    <n v="20"/>
    <n v="8"/>
    <n v="57"/>
  </r>
  <r>
    <n v="3246"/>
    <x v="15"/>
    <x v="2"/>
    <d v="2024-03-12T00:00:00"/>
    <x v="0"/>
    <n v="10"/>
    <x v="1"/>
    <s v="No"/>
    <x v="1"/>
    <s v="Yes"/>
    <n v="20"/>
    <n v="12"/>
    <n v="18"/>
  </r>
  <r>
    <n v="3247"/>
    <x v="16"/>
    <x v="1"/>
    <d v="2024-03-13T00:00:00"/>
    <x v="1"/>
    <n v="5"/>
    <x v="0"/>
    <s v="No"/>
    <x v="1"/>
    <s v="No"/>
    <n v="0"/>
    <n v="2"/>
    <n v="3"/>
  </r>
  <r>
    <n v="3248"/>
    <x v="17"/>
    <x v="0"/>
    <d v="2024-03-14T00:00:00"/>
    <x v="0"/>
    <n v="15"/>
    <x v="2"/>
    <s v="Yes"/>
    <x v="0"/>
    <s v="Yes"/>
    <n v="20"/>
    <n v="7"/>
    <n v="58"/>
  </r>
  <r>
    <n v="3249"/>
    <x v="18"/>
    <x v="2"/>
    <d v="2024-03-15T00:00:00"/>
    <x v="1"/>
    <n v="10"/>
    <x v="0"/>
    <s v="No"/>
    <x v="1"/>
    <s v="Yes"/>
    <n v="20"/>
    <n v="5"/>
    <n v="25"/>
  </r>
  <r>
    <n v="3250"/>
    <x v="19"/>
    <x v="1"/>
    <d v="2024-03-16T00:00:00"/>
    <x v="0"/>
    <n v="5"/>
    <x v="1"/>
    <s v="No"/>
    <x v="1"/>
    <s v="No"/>
    <n v="0"/>
    <n v="0"/>
    <n v="5"/>
  </r>
  <r>
    <n v="3251"/>
    <x v="20"/>
    <x v="0"/>
    <d v="2024-03-17T00:00:00"/>
    <x v="1"/>
    <n v="15"/>
    <x v="0"/>
    <s v="Yes"/>
    <x v="0"/>
    <s v="Yes"/>
    <n v="20"/>
    <n v="3"/>
    <n v="62"/>
  </r>
  <r>
    <n v="3252"/>
    <x v="21"/>
    <x v="2"/>
    <d v="2024-03-18T00:00:00"/>
    <x v="0"/>
    <n v="10"/>
    <x v="2"/>
    <s v="No"/>
    <x v="1"/>
    <s v="Yes"/>
    <n v="20"/>
    <n v="15"/>
    <n v="15"/>
  </r>
  <r>
    <n v="3253"/>
    <x v="22"/>
    <x v="1"/>
    <d v="2024-03-19T00:00:00"/>
    <x v="1"/>
    <n v="5"/>
    <x v="0"/>
    <s v="No"/>
    <x v="1"/>
    <s v="No"/>
    <n v="0"/>
    <n v="1"/>
    <n v="4"/>
  </r>
  <r>
    <n v="3254"/>
    <x v="23"/>
    <x v="0"/>
    <d v="2024-03-20T00:00:00"/>
    <x v="0"/>
    <n v="15"/>
    <x v="1"/>
    <s v="Yes"/>
    <x v="0"/>
    <s v="Yes"/>
    <n v="20"/>
    <n v="20"/>
    <n v="45"/>
  </r>
  <r>
    <n v="3255"/>
    <x v="24"/>
    <x v="2"/>
    <d v="2024-03-21T00:00:00"/>
    <x v="1"/>
    <n v="10"/>
    <x v="0"/>
    <s v="No"/>
    <x v="1"/>
    <s v="Yes"/>
    <n v="20"/>
    <n v="10"/>
    <n v="20"/>
  </r>
  <r>
    <n v="3256"/>
    <x v="25"/>
    <x v="1"/>
    <d v="2024-03-22T00:00:00"/>
    <x v="0"/>
    <n v="5"/>
    <x v="2"/>
    <s v="No"/>
    <x v="1"/>
    <s v="No"/>
    <n v="0"/>
    <n v="0"/>
    <n v="5"/>
  </r>
  <r>
    <n v="3257"/>
    <x v="26"/>
    <x v="0"/>
    <d v="2024-03-23T00:00:00"/>
    <x v="1"/>
    <n v="15"/>
    <x v="0"/>
    <s v="Yes"/>
    <x v="0"/>
    <s v="Yes"/>
    <n v="20"/>
    <n v="5"/>
    <n v="60"/>
  </r>
  <r>
    <n v="3258"/>
    <x v="27"/>
    <x v="2"/>
    <d v="2024-03-24T00:00:00"/>
    <x v="0"/>
    <n v="10"/>
    <x v="1"/>
    <s v="No"/>
    <x v="1"/>
    <s v="Yes"/>
    <n v="20"/>
    <n v="15"/>
    <n v="15"/>
  </r>
  <r>
    <n v="3259"/>
    <x v="28"/>
    <x v="1"/>
    <d v="2024-03-25T00:00:00"/>
    <x v="1"/>
    <n v="5"/>
    <x v="0"/>
    <s v="No"/>
    <x v="1"/>
    <s v="No"/>
    <n v="0"/>
    <n v="1"/>
    <n v="4"/>
  </r>
  <r>
    <n v="3260"/>
    <x v="29"/>
    <x v="0"/>
    <d v="2024-03-26T00:00:00"/>
    <x v="0"/>
    <n v="15"/>
    <x v="2"/>
    <s v="Yes"/>
    <x v="0"/>
    <s v="Yes"/>
    <n v="20"/>
    <n v="7"/>
    <n v="58"/>
  </r>
  <r>
    <n v="3261"/>
    <x v="30"/>
    <x v="2"/>
    <d v="2024-03-27T00:00:00"/>
    <x v="1"/>
    <n v="10"/>
    <x v="0"/>
    <s v="No"/>
    <x v="1"/>
    <s v="Yes"/>
    <n v="20"/>
    <n v="10"/>
    <n v="20"/>
  </r>
  <r>
    <n v="3262"/>
    <x v="31"/>
    <x v="1"/>
    <d v="2024-03-28T00:00:00"/>
    <x v="0"/>
    <n v="5"/>
    <x v="1"/>
    <s v="No"/>
    <x v="1"/>
    <s v="No"/>
    <n v="0"/>
    <n v="0"/>
    <n v="5"/>
  </r>
  <r>
    <n v="3263"/>
    <x v="32"/>
    <x v="0"/>
    <d v="2024-03-29T00:00:00"/>
    <x v="1"/>
    <n v="15"/>
    <x v="0"/>
    <s v="Yes"/>
    <x v="0"/>
    <s v="Yes"/>
    <n v="20"/>
    <n v="3"/>
    <n v="62"/>
  </r>
  <r>
    <n v="3264"/>
    <x v="33"/>
    <x v="2"/>
    <d v="2024-03-30T00:00:00"/>
    <x v="0"/>
    <n v="10"/>
    <x v="2"/>
    <s v="No"/>
    <x v="1"/>
    <s v="Yes"/>
    <n v="20"/>
    <n v="15"/>
    <n v="15"/>
  </r>
  <r>
    <n v="3265"/>
    <x v="34"/>
    <x v="1"/>
    <d v="2024-03-31T00:00:00"/>
    <x v="1"/>
    <n v="5"/>
    <x v="0"/>
    <s v="No"/>
    <x v="1"/>
    <s v="No"/>
    <n v="0"/>
    <n v="1"/>
    <n v="4"/>
  </r>
  <r>
    <n v="3266"/>
    <x v="35"/>
    <x v="1"/>
    <d v="2024-04-01T00:00:00"/>
    <x v="0"/>
    <n v="5"/>
    <x v="0"/>
    <s v="No"/>
    <x v="1"/>
    <s v="No"/>
    <n v="0"/>
    <n v="0"/>
    <n v="5"/>
  </r>
  <r>
    <n v="3267"/>
    <x v="36"/>
    <x v="0"/>
    <d v="2024-04-02T00:00:00"/>
    <x v="1"/>
    <n v="15"/>
    <x v="2"/>
    <s v="Yes"/>
    <x v="0"/>
    <s v="Yes"/>
    <n v="20"/>
    <n v="7"/>
    <n v="58"/>
  </r>
  <r>
    <n v="3268"/>
    <x v="37"/>
    <x v="2"/>
    <d v="2024-04-03T00:00:00"/>
    <x v="0"/>
    <n v="10"/>
    <x v="1"/>
    <s v="No"/>
    <x v="1"/>
    <s v="Yes"/>
    <n v="20"/>
    <n v="10"/>
    <n v="20"/>
  </r>
  <r>
    <n v="3269"/>
    <x v="38"/>
    <x v="1"/>
    <d v="2024-04-04T00:00:00"/>
    <x v="1"/>
    <n v="5"/>
    <x v="2"/>
    <s v="No"/>
    <x v="1"/>
    <s v="No"/>
    <n v="0"/>
    <n v="1"/>
    <n v="4"/>
  </r>
  <r>
    <n v="3270"/>
    <x v="39"/>
    <x v="0"/>
    <d v="2024-04-05T00:00:00"/>
    <x v="0"/>
    <n v="15"/>
    <x v="0"/>
    <s v="Yes"/>
    <x v="0"/>
    <s v="Yes"/>
    <n v="20"/>
    <n v="15"/>
    <n v="50"/>
  </r>
  <r>
    <n v="3271"/>
    <x v="40"/>
    <x v="2"/>
    <d v="2024-04-06T00:00:00"/>
    <x v="1"/>
    <n v="10"/>
    <x v="0"/>
    <s v="No"/>
    <x v="1"/>
    <s v="Yes"/>
    <n v="20"/>
    <n v="5"/>
    <n v="25"/>
  </r>
  <r>
    <n v="3272"/>
    <x v="41"/>
    <x v="1"/>
    <d v="2024-04-07T00:00:00"/>
    <x v="0"/>
    <n v="5"/>
    <x v="1"/>
    <s v="No"/>
    <x v="1"/>
    <s v="No"/>
    <n v="0"/>
    <n v="0"/>
    <n v="5"/>
  </r>
  <r>
    <n v="3273"/>
    <x v="42"/>
    <x v="0"/>
    <d v="2024-04-08T00:00:00"/>
    <x v="1"/>
    <n v="15"/>
    <x v="2"/>
    <s v="Yes"/>
    <x v="0"/>
    <s v="Yes"/>
    <n v="20"/>
    <n v="20"/>
    <n v="45"/>
  </r>
  <r>
    <n v="3274"/>
    <x v="43"/>
    <x v="2"/>
    <d v="2024-04-09T00:00:00"/>
    <x v="0"/>
    <n v="10"/>
    <x v="2"/>
    <s v="No"/>
    <x v="1"/>
    <s v="Yes"/>
    <n v="20"/>
    <n v="12"/>
    <n v="18"/>
  </r>
  <r>
    <n v="3275"/>
    <x v="44"/>
    <x v="1"/>
    <d v="2024-04-10T00:00:00"/>
    <x v="1"/>
    <n v="5"/>
    <x v="0"/>
    <s v="No"/>
    <x v="1"/>
    <s v="No"/>
    <n v="0"/>
    <n v="2"/>
    <n v="3"/>
  </r>
  <r>
    <n v="3276"/>
    <x v="45"/>
    <x v="0"/>
    <d v="2024-04-11T00:00:00"/>
    <x v="0"/>
    <n v="15"/>
    <x v="1"/>
    <s v="Yes"/>
    <x v="0"/>
    <s v="Yes"/>
    <n v="20"/>
    <n v="5"/>
    <n v="60"/>
  </r>
  <r>
    <n v="3277"/>
    <x v="46"/>
    <x v="2"/>
    <d v="2024-04-12T00:00:00"/>
    <x v="1"/>
    <n v="10"/>
    <x v="0"/>
    <s v="No"/>
    <x v="1"/>
    <s v="Yes"/>
    <n v="20"/>
    <n v="10"/>
    <n v="20"/>
  </r>
  <r>
    <n v="3278"/>
    <x v="47"/>
    <x v="1"/>
    <d v="2024-04-13T00:00:00"/>
    <x v="0"/>
    <n v="5"/>
    <x v="2"/>
    <s v="No"/>
    <x v="1"/>
    <s v="No"/>
    <n v="0"/>
    <n v="0"/>
    <n v="5"/>
  </r>
  <r>
    <n v="3279"/>
    <x v="48"/>
    <x v="0"/>
    <d v="2024-04-14T00:00:00"/>
    <x v="1"/>
    <n v="15"/>
    <x v="0"/>
    <s v="Yes"/>
    <x v="0"/>
    <s v="Yes"/>
    <n v="20"/>
    <n v="3"/>
    <n v="62"/>
  </r>
  <r>
    <n v="3280"/>
    <x v="49"/>
    <x v="2"/>
    <d v="2024-04-15T00:00:00"/>
    <x v="0"/>
    <n v="10"/>
    <x v="1"/>
    <s v="No"/>
    <x v="1"/>
    <s v="Yes"/>
    <n v="20"/>
    <n v="15"/>
    <n v="15"/>
  </r>
  <r>
    <n v="3281"/>
    <x v="50"/>
    <x v="1"/>
    <d v="2024-04-16T00:00:00"/>
    <x v="1"/>
    <n v="5"/>
    <x v="0"/>
    <s v="No"/>
    <x v="1"/>
    <s v="No"/>
    <n v="0"/>
    <n v="1"/>
    <n v="4"/>
  </r>
  <r>
    <n v="3282"/>
    <x v="51"/>
    <x v="0"/>
    <d v="2024-04-17T00:00:00"/>
    <x v="0"/>
    <n v="15"/>
    <x v="2"/>
    <s v="Yes"/>
    <x v="0"/>
    <s v="Yes"/>
    <n v="20"/>
    <n v="7"/>
    <n v="58"/>
  </r>
  <r>
    <n v="3283"/>
    <x v="52"/>
    <x v="2"/>
    <d v="2024-04-18T00:00:00"/>
    <x v="1"/>
    <n v="10"/>
    <x v="0"/>
    <s v="No"/>
    <x v="1"/>
    <s v="Yes"/>
    <n v="20"/>
    <n v="10"/>
    <n v="20"/>
  </r>
  <r>
    <n v="3284"/>
    <x v="53"/>
    <x v="1"/>
    <d v="2024-04-19T00:00:00"/>
    <x v="0"/>
    <n v="5"/>
    <x v="1"/>
    <s v="No"/>
    <x v="1"/>
    <s v="No"/>
    <n v="0"/>
    <n v="0"/>
    <n v="5"/>
  </r>
  <r>
    <n v="3285"/>
    <x v="54"/>
    <x v="0"/>
    <d v="2024-04-20T00:00:00"/>
    <x v="1"/>
    <n v="15"/>
    <x v="0"/>
    <s v="Yes"/>
    <x v="0"/>
    <s v="Yes"/>
    <n v="20"/>
    <n v="20"/>
    <n v="45"/>
  </r>
  <r>
    <n v="3286"/>
    <x v="55"/>
    <x v="2"/>
    <d v="2024-04-21T00:00:00"/>
    <x v="0"/>
    <n v="10"/>
    <x v="2"/>
    <s v="No"/>
    <x v="1"/>
    <s v="Yes"/>
    <n v="20"/>
    <n v="15"/>
    <n v="15"/>
  </r>
  <r>
    <n v="3287"/>
    <x v="56"/>
    <x v="1"/>
    <d v="2024-04-22T00:00:00"/>
    <x v="1"/>
    <n v="5"/>
    <x v="0"/>
    <s v="No"/>
    <x v="1"/>
    <s v="No"/>
    <n v="0"/>
    <n v="1"/>
    <n v="4"/>
  </r>
  <r>
    <n v="3288"/>
    <x v="57"/>
    <x v="0"/>
    <d v="2024-04-23T00:00:00"/>
    <x v="0"/>
    <n v="15"/>
    <x v="1"/>
    <s v="Yes"/>
    <x v="0"/>
    <s v="Yes"/>
    <n v="20"/>
    <n v="3"/>
    <n v="62"/>
  </r>
  <r>
    <n v="3289"/>
    <x v="58"/>
    <x v="2"/>
    <d v="2024-04-24T00:00:00"/>
    <x v="1"/>
    <n v="10"/>
    <x v="0"/>
    <s v="No"/>
    <x v="1"/>
    <s v="Yes"/>
    <n v="20"/>
    <n v="10"/>
    <n v="20"/>
  </r>
  <r>
    <n v="3290"/>
    <x v="59"/>
    <x v="1"/>
    <d v="2024-04-25T00:00:00"/>
    <x v="0"/>
    <n v="5"/>
    <x v="2"/>
    <s v="No"/>
    <x v="1"/>
    <s v="No"/>
    <n v="0"/>
    <n v="0"/>
    <n v="5"/>
  </r>
  <r>
    <n v="3291"/>
    <x v="60"/>
    <x v="0"/>
    <d v="2024-04-26T00:00:00"/>
    <x v="1"/>
    <n v="15"/>
    <x v="0"/>
    <s v="Yes"/>
    <x v="0"/>
    <s v="Yes"/>
    <n v="20"/>
    <n v="5"/>
    <n v="60"/>
  </r>
  <r>
    <n v="3292"/>
    <x v="61"/>
    <x v="2"/>
    <d v="2024-04-27T00:00:00"/>
    <x v="0"/>
    <n v="10"/>
    <x v="1"/>
    <s v="No"/>
    <x v="1"/>
    <s v="Yes"/>
    <n v="20"/>
    <n v="15"/>
    <n v="15"/>
  </r>
  <r>
    <n v="3293"/>
    <x v="62"/>
    <x v="1"/>
    <d v="2024-04-28T00:00:00"/>
    <x v="1"/>
    <n v="5"/>
    <x v="0"/>
    <s v="No"/>
    <x v="1"/>
    <s v="No"/>
    <n v="0"/>
    <n v="1"/>
    <n v="4"/>
  </r>
  <r>
    <n v="3294"/>
    <x v="63"/>
    <x v="0"/>
    <d v="2024-04-29T00:00:00"/>
    <x v="0"/>
    <n v="15"/>
    <x v="2"/>
    <s v="Yes"/>
    <x v="0"/>
    <s v="Yes"/>
    <n v="20"/>
    <n v="20"/>
    <n v="45"/>
  </r>
  <r>
    <n v="3295"/>
    <x v="64"/>
    <x v="2"/>
    <d v="2024-04-30T00:00:00"/>
    <x v="1"/>
    <n v="10"/>
    <x v="0"/>
    <s v="No"/>
    <x v="1"/>
    <s v="Yes"/>
    <n v="20"/>
    <n v="5"/>
    <n v="25"/>
  </r>
  <r>
    <n v="3296"/>
    <x v="65"/>
    <x v="1"/>
    <d v="2024-05-01T00:00:00"/>
    <x v="1"/>
    <n v="5"/>
    <x v="0"/>
    <s v="No"/>
    <x v="1"/>
    <s v="No"/>
    <n v="0"/>
    <n v="0"/>
    <n v="5"/>
  </r>
  <r>
    <n v="3297"/>
    <x v="66"/>
    <x v="0"/>
    <d v="2024-05-02T00:00:00"/>
    <x v="0"/>
    <n v="15"/>
    <x v="2"/>
    <s v="Yes"/>
    <x v="0"/>
    <s v="Yes"/>
    <n v="20"/>
    <n v="7"/>
    <n v="58"/>
  </r>
  <r>
    <n v="3298"/>
    <x v="67"/>
    <x v="2"/>
    <d v="2024-05-03T00:00:00"/>
    <x v="1"/>
    <n v="10"/>
    <x v="1"/>
    <s v="No"/>
    <x v="1"/>
    <s v="Yes"/>
    <n v="20"/>
    <n v="10"/>
    <n v="20"/>
  </r>
  <r>
    <n v="3299"/>
    <x v="68"/>
    <x v="1"/>
    <d v="2024-05-04T00:00:00"/>
    <x v="0"/>
    <n v="5"/>
    <x v="2"/>
    <s v="No"/>
    <x v="1"/>
    <s v="No"/>
    <n v="0"/>
    <n v="1"/>
    <n v="4"/>
  </r>
  <r>
    <n v="3300"/>
    <x v="69"/>
    <x v="0"/>
    <d v="2024-05-05T00:00:00"/>
    <x v="1"/>
    <n v="15"/>
    <x v="0"/>
    <s v="Yes"/>
    <x v="0"/>
    <s v="Yes"/>
    <n v="20"/>
    <n v="15"/>
    <n v="50"/>
  </r>
  <r>
    <n v="3301"/>
    <x v="70"/>
    <x v="2"/>
    <d v="2024-05-06T00:00:00"/>
    <x v="0"/>
    <n v="10"/>
    <x v="0"/>
    <s v="No"/>
    <x v="1"/>
    <s v="Yes"/>
    <n v="20"/>
    <n v="5"/>
    <n v="25"/>
  </r>
  <r>
    <n v="3302"/>
    <x v="71"/>
    <x v="1"/>
    <d v="2024-05-07T00:00:00"/>
    <x v="1"/>
    <n v="5"/>
    <x v="1"/>
    <s v="No"/>
    <x v="1"/>
    <s v="No"/>
    <n v="0"/>
    <n v="0"/>
    <n v="5"/>
  </r>
  <r>
    <n v="3303"/>
    <x v="72"/>
    <x v="0"/>
    <d v="2024-05-08T00:00:00"/>
    <x v="0"/>
    <n v="15"/>
    <x v="2"/>
    <s v="Yes"/>
    <x v="0"/>
    <s v="Yes"/>
    <n v="20"/>
    <n v="20"/>
    <n v="45"/>
  </r>
  <r>
    <n v="3304"/>
    <x v="73"/>
    <x v="2"/>
    <d v="2024-05-09T00:00:00"/>
    <x v="1"/>
    <n v="10"/>
    <x v="2"/>
    <s v="No"/>
    <x v="1"/>
    <s v="Yes"/>
    <n v="20"/>
    <n v="12"/>
    <n v="18"/>
  </r>
  <r>
    <n v="3305"/>
    <x v="74"/>
    <x v="1"/>
    <d v="2024-05-10T00:00:00"/>
    <x v="0"/>
    <n v="5"/>
    <x v="0"/>
    <s v="No"/>
    <x v="1"/>
    <s v="No"/>
    <n v="0"/>
    <n v="2"/>
    <n v="3"/>
  </r>
  <r>
    <n v="3306"/>
    <x v="75"/>
    <x v="0"/>
    <d v="2024-05-11T00:00:00"/>
    <x v="1"/>
    <n v="15"/>
    <x v="1"/>
    <s v="Yes"/>
    <x v="0"/>
    <s v="Yes"/>
    <n v="20"/>
    <n v="5"/>
    <n v="60"/>
  </r>
  <r>
    <n v="3307"/>
    <x v="76"/>
    <x v="2"/>
    <d v="2024-05-12T00:00:00"/>
    <x v="0"/>
    <n v="10"/>
    <x v="0"/>
    <s v="No"/>
    <x v="1"/>
    <s v="Yes"/>
    <n v="20"/>
    <n v="10"/>
    <n v="20"/>
  </r>
  <r>
    <n v="3308"/>
    <x v="77"/>
    <x v="1"/>
    <d v="2024-05-13T00:00:00"/>
    <x v="1"/>
    <n v="5"/>
    <x v="2"/>
    <s v="No"/>
    <x v="1"/>
    <s v="No"/>
    <n v="0"/>
    <n v="0"/>
    <n v="5"/>
  </r>
  <r>
    <n v="3309"/>
    <x v="78"/>
    <x v="0"/>
    <d v="2024-05-14T00:00:00"/>
    <x v="0"/>
    <n v="15"/>
    <x v="0"/>
    <s v="Yes"/>
    <x v="0"/>
    <s v="Yes"/>
    <n v="20"/>
    <n v="3"/>
    <n v="62"/>
  </r>
  <r>
    <n v="3310"/>
    <x v="79"/>
    <x v="2"/>
    <d v="2024-05-15T00:00:00"/>
    <x v="1"/>
    <n v="10"/>
    <x v="1"/>
    <s v="No"/>
    <x v="1"/>
    <s v="Yes"/>
    <n v="20"/>
    <n v="15"/>
    <n v="15"/>
  </r>
  <r>
    <n v="3311"/>
    <x v="80"/>
    <x v="1"/>
    <d v="2024-05-16T00:00:00"/>
    <x v="0"/>
    <n v="5"/>
    <x v="0"/>
    <s v="No"/>
    <x v="1"/>
    <s v="No"/>
    <n v="0"/>
    <n v="1"/>
    <n v="4"/>
  </r>
  <r>
    <n v="3312"/>
    <x v="81"/>
    <x v="0"/>
    <d v="2024-05-17T00:00:00"/>
    <x v="1"/>
    <n v="15"/>
    <x v="2"/>
    <s v="Yes"/>
    <x v="0"/>
    <s v="Yes"/>
    <n v="20"/>
    <n v="7"/>
    <n v="58"/>
  </r>
  <r>
    <n v="3313"/>
    <x v="82"/>
    <x v="2"/>
    <d v="2024-05-18T00:00:00"/>
    <x v="0"/>
    <n v="10"/>
    <x v="0"/>
    <s v="No"/>
    <x v="1"/>
    <s v="Yes"/>
    <n v="20"/>
    <n v="10"/>
    <n v="20"/>
  </r>
  <r>
    <n v="3314"/>
    <x v="83"/>
    <x v="1"/>
    <d v="2024-05-19T00:00:00"/>
    <x v="1"/>
    <n v="5"/>
    <x v="1"/>
    <s v="No"/>
    <x v="1"/>
    <s v="No"/>
    <n v="0"/>
    <n v="0"/>
    <n v="5"/>
  </r>
  <r>
    <n v="3315"/>
    <x v="84"/>
    <x v="0"/>
    <d v="2024-05-20T00:00:00"/>
    <x v="0"/>
    <n v="15"/>
    <x v="0"/>
    <s v="Yes"/>
    <x v="0"/>
    <s v="Yes"/>
    <n v="20"/>
    <n v="20"/>
    <n v="45"/>
  </r>
  <r>
    <n v="3316"/>
    <x v="85"/>
    <x v="2"/>
    <d v="2024-05-21T00:00:00"/>
    <x v="1"/>
    <n v="10"/>
    <x v="2"/>
    <s v="No"/>
    <x v="1"/>
    <s v="Yes"/>
    <n v="20"/>
    <n v="15"/>
    <n v="15"/>
  </r>
  <r>
    <n v="3317"/>
    <x v="86"/>
    <x v="1"/>
    <d v="2024-05-22T00:00:00"/>
    <x v="0"/>
    <n v="5"/>
    <x v="0"/>
    <s v="No"/>
    <x v="1"/>
    <s v="No"/>
    <n v="0"/>
    <n v="1"/>
    <n v="4"/>
  </r>
  <r>
    <n v="3318"/>
    <x v="87"/>
    <x v="0"/>
    <d v="2024-05-23T00:00:00"/>
    <x v="1"/>
    <n v="15"/>
    <x v="1"/>
    <s v="Yes"/>
    <x v="0"/>
    <s v="Yes"/>
    <n v="20"/>
    <n v="3"/>
    <n v="62"/>
  </r>
  <r>
    <n v="3319"/>
    <x v="88"/>
    <x v="2"/>
    <d v="2024-05-24T00:00:00"/>
    <x v="0"/>
    <n v="10"/>
    <x v="0"/>
    <s v="No"/>
    <x v="1"/>
    <s v="Yes"/>
    <n v="20"/>
    <n v="10"/>
    <n v="20"/>
  </r>
  <r>
    <n v="3320"/>
    <x v="89"/>
    <x v="1"/>
    <d v="2024-05-25T00:00:00"/>
    <x v="1"/>
    <n v="5"/>
    <x v="2"/>
    <s v="No"/>
    <x v="1"/>
    <s v="No"/>
    <n v="0"/>
    <n v="0"/>
    <n v="5"/>
  </r>
  <r>
    <n v="3321"/>
    <x v="90"/>
    <x v="0"/>
    <d v="2024-05-26T00:00:00"/>
    <x v="0"/>
    <n v="15"/>
    <x v="0"/>
    <s v="Yes"/>
    <x v="0"/>
    <s v="Yes"/>
    <n v="20"/>
    <n v="5"/>
    <n v="60"/>
  </r>
  <r>
    <n v="3322"/>
    <x v="91"/>
    <x v="2"/>
    <d v="2024-05-27T00:00:00"/>
    <x v="1"/>
    <n v="10"/>
    <x v="1"/>
    <s v="No"/>
    <x v="1"/>
    <s v="Yes"/>
    <n v="20"/>
    <n v="15"/>
    <n v="15"/>
  </r>
  <r>
    <n v="3323"/>
    <x v="92"/>
    <x v="1"/>
    <d v="2024-05-28T00:00:00"/>
    <x v="0"/>
    <n v="5"/>
    <x v="0"/>
    <s v="No"/>
    <x v="1"/>
    <s v="No"/>
    <n v="0"/>
    <n v="1"/>
    <n v="4"/>
  </r>
  <r>
    <n v="3324"/>
    <x v="93"/>
    <x v="0"/>
    <d v="2024-05-29T00:00:00"/>
    <x v="1"/>
    <n v="15"/>
    <x v="2"/>
    <s v="Yes"/>
    <x v="0"/>
    <s v="Yes"/>
    <n v="20"/>
    <n v="20"/>
    <n v="45"/>
  </r>
  <r>
    <n v="3325"/>
    <x v="94"/>
    <x v="2"/>
    <d v="2024-05-30T00:00:00"/>
    <x v="0"/>
    <n v="10"/>
    <x v="2"/>
    <s v="No"/>
    <x v="1"/>
    <s v="Yes"/>
    <n v="20"/>
    <n v="15"/>
    <n v="15"/>
  </r>
  <r>
    <n v="3326"/>
    <x v="95"/>
    <x v="1"/>
    <d v="2024-05-31T00:00:00"/>
    <x v="1"/>
    <n v="5"/>
    <x v="1"/>
    <s v="No"/>
    <x v="1"/>
    <s v="No"/>
    <n v="0"/>
    <n v="0"/>
    <n v="5"/>
  </r>
  <r>
    <n v="3327"/>
    <x v="96"/>
    <x v="0"/>
    <d v="2024-06-01T00:00:00"/>
    <x v="0"/>
    <n v="15"/>
    <x v="0"/>
    <s v="Yes"/>
    <x v="0"/>
    <s v="Yes"/>
    <n v="20"/>
    <n v="7"/>
    <n v="58"/>
  </r>
  <r>
    <n v="3328"/>
    <x v="97"/>
    <x v="2"/>
    <d v="2024-06-02T00:00:00"/>
    <x v="1"/>
    <n v="10"/>
    <x v="1"/>
    <s v="No"/>
    <x v="1"/>
    <s v="Yes"/>
    <n v="20"/>
    <n v="10"/>
    <n v="20"/>
  </r>
  <r>
    <n v="3329"/>
    <x v="98"/>
    <x v="1"/>
    <d v="2024-06-03T00:00:00"/>
    <x v="0"/>
    <n v="5"/>
    <x v="2"/>
    <s v="No"/>
    <x v="1"/>
    <s v="No"/>
    <n v="0"/>
    <n v="1"/>
    <n v="4"/>
  </r>
  <r>
    <n v="3330"/>
    <x v="99"/>
    <x v="0"/>
    <d v="2024-06-04T00:00:00"/>
    <x v="1"/>
    <n v="15"/>
    <x v="0"/>
    <s v="Yes"/>
    <x v="0"/>
    <s v="Yes"/>
    <n v="20"/>
    <n v="15"/>
    <n v="50"/>
  </r>
  <r>
    <n v="3331"/>
    <x v="100"/>
    <x v="2"/>
    <d v="2024-06-05T00:00:00"/>
    <x v="0"/>
    <n v="10"/>
    <x v="0"/>
    <s v="No"/>
    <x v="1"/>
    <s v="Yes"/>
    <n v="20"/>
    <n v="5"/>
    <n v="25"/>
  </r>
  <r>
    <n v="3332"/>
    <x v="101"/>
    <x v="1"/>
    <d v="2024-06-06T00:00:00"/>
    <x v="1"/>
    <n v="5"/>
    <x v="1"/>
    <s v="No"/>
    <x v="1"/>
    <s v="No"/>
    <n v="0"/>
    <n v="0"/>
    <n v="5"/>
  </r>
  <r>
    <n v="3333"/>
    <x v="102"/>
    <x v="0"/>
    <d v="2024-06-07T00:00:00"/>
    <x v="0"/>
    <n v="15"/>
    <x v="2"/>
    <s v="Yes"/>
    <x v="0"/>
    <s v="Yes"/>
    <n v="20"/>
    <n v="20"/>
    <n v="45"/>
  </r>
  <r>
    <n v="3334"/>
    <x v="103"/>
    <x v="2"/>
    <d v="2024-06-08T00:00:00"/>
    <x v="1"/>
    <n v="10"/>
    <x v="2"/>
    <s v="No"/>
    <x v="1"/>
    <s v="Yes"/>
    <n v="20"/>
    <n v="12"/>
    <n v="18"/>
  </r>
  <r>
    <n v="3335"/>
    <x v="104"/>
    <x v="1"/>
    <d v="2024-06-09T00:00:00"/>
    <x v="0"/>
    <n v="5"/>
    <x v="0"/>
    <s v="No"/>
    <x v="1"/>
    <s v="No"/>
    <n v="0"/>
    <n v="2"/>
    <n v="3"/>
  </r>
  <r>
    <n v="3336"/>
    <x v="105"/>
    <x v="1"/>
    <d v="2024-06-10T00:00:00"/>
    <x v="0"/>
    <n v="5"/>
    <x v="0"/>
    <s v="No"/>
    <x v="1"/>
    <s v="No"/>
    <n v="0"/>
    <n v="0"/>
    <n v="5"/>
  </r>
  <r>
    <n v="3337"/>
    <x v="106"/>
    <x v="0"/>
    <d v="2024-06-11T00:00:00"/>
    <x v="1"/>
    <n v="15"/>
    <x v="2"/>
    <s v="Yes"/>
    <x v="0"/>
    <s v="Yes"/>
    <n v="20"/>
    <n v="7"/>
    <n v="58"/>
  </r>
  <r>
    <n v="3338"/>
    <x v="107"/>
    <x v="2"/>
    <d v="2024-06-12T00:00:00"/>
    <x v="0"/>
    <n v="10"/>
    <x v="1"/>
    <s v="No"/>
    <x v="1"/>
    <s v="Yes"/>
    <n v="20"/>
    <n v="10"/>
    <n v="20"/>
  </r>
  <r>
    <n v="3339"/>
    <x v="108"/>
    <x v="1"/>
    <d v="2024-06-13T00:00:00"/>
    <x v="1"/>
    <n v="5"/>
    <x v="2"/>
    <s v="No"/>
    <x v="1"/>
    <s v="No"/>
    <n v="0"/>
    <n v="1"/>
    <n v="4"/>
  </r>
  <r>
    <n v="3340"/>
    <x v="109"/>
    <x v="0"/>
    <d v="2024-06-14T00:00:00"/>
    <x v="0"/>
    <n v="15"/>
    <x v="0"/>
    <s v="Yes"/>
    <x v="0"/>
    <s v="Yes"/>
    <n v="20"/>
    <n v="15"/>
    <n v="50"/>
  </r>
  <r>
    <n v="3341"/>
    <x v="110"/>
    <x v="2"/>
    <d v="2024-06-15T00:00:00"/>
    <x v="1"/>
    <n v="10"/>
    <x v="0"/>
    <s v="No"/>
    <x v="1"/>
    <s v="Yes"/>
    <n v="20"/>
    <n v="5"/>
    <n v="25"/>
  </r>
  <r>
    <n v="3342"/>
    <x v="111"/>
    <x v="1"/>
    <d v="2024-06-16T00:00:00"/>
    <x v="0"/>
    <n v="5"/>
    <x v="1"/>
    <s v="No"/>
    <x v="1"/>
    <s v="No"/>
    <n v="0"/>
    <n v="0"/>
    <n v="5"/>
  </r>
  <r>
    <n v="3343"/>
    <x v="112"/>
    <x v="0"/>
    <d v="2024-06-17T00:00:00"/>
    <x v="1"/>
    <n v="15"/>
    <x v="2"/>
    <s v="Yes"/>
    <x v="0"/>
    <s v="Yes"/>
    <n v="20"/>
    <n v="20"/>
    <n v="45"/>
  </r>
  <r>
    <n v="3344"/>
    <x v="113"/>
    <x v="2"/>
    <d v="2024-06-18T00:00:00"/>
    <x v="0"/>
    <n v="10"/>
    <x v="2"/>
    <s v="No"/>
    <x v="1"/>
    <s v="Yes"/>
    <n v="20"/>
    <n v="12"/>
    <n v="18"/>
  </r>
  <r>
    <n v="3345"/>
    <x v="114"/>
    <x v="1"/>
    <d v="2024-06-19T00:00:00"/>
    <x v="1"/>
    <n v="5"/>
    <x v="0"/>
    <s v="No"/>
    <x v="1"/>
    <s v="No"/>
    <n v="0"/>
    <n v="2"/>
    <n v="3"/>
  </r>
  <r>
    <n v="3346"/>
    <x v="115"/>
    <x v="0"/>
    <d v="2024-06-20T00:00:00"/>
    <x v="0"/>
    <n v="15"/>
    <x v="1"/>
    <s v="Yes"/>
    <x v="0"/>
    <s v="Yes"/>
    <n v="20"/>
    <n v="5"/>
    <n v="60"/>
  </r>
  <r>
    <n v="3347"/>
    <x v="116"/>
    <x v="2"/>
    <d v="2024-06-21T00:00:00"/>
    <x v="1"/>
    <n v="10"/>
    <x v="0"/>
    <s v="No"/>
    <x v="1"/>
    <s v="Yes"/>
    <n v="20"/>
    <n v="10"/>
    <n v="20"/>
  </r>
  <r>
    <n v="3348"/>
    <x v="117"/>
    <x v="1"/>
    <d v="2024-06-22T00:00:00"/>
    <x v="0"/>
    <n v="5"/>
    <x v="2"/>
    <s v="No"/>
    <x v="1"/>
    <s v="No"/>
    <n v="0"/>
    <n v="0"/>
    <n v="5"/>
  </r>
  <r>
    <n v="3349"/>
    <x v="93"/>
    <x v="0"/>
    <d v="2024-06-23T00:00:00"/>
    <x v="1"/>
    <n v="15"/>
    <x v="0"/>
    <s v="Yes"/>
    <x v="0"/>
    <s v="Yes"/>
    <n v="20"/>
    <n v="3"/>
    <n v="62"/>
  </r>
  <r>
    <n v="3350"/>
    <x v="118"/>
    <x v="2"/>
    <d v="2024-06-24T00:00:00"/>
    <x v="0"/>
    <n v="10"/>
    <x v="1"/>
    <s v="No"/>
    <x v="1"/>
    <s v="Yes"/>
    <n v="20"/>
    <n v="15"/>
    <n v="15"/>
  </r>
  <r>
    <n v="3351"/>
    <x v="119"/>
    <x v="1"/>
    <d v="2024-06-25T00:00:00"/>
    <x v="1"/>
    <n v="5"/>
    <x v="0"/>
    <s v="No"/>
    <x v="1"/>
    <s v="No"/>
    <n v="0"/>
    <n v="1"/>
    <n v="4"/>
  </r>
  <r>
    <n v="3352"/>
    <x v="120"/>
    <x v="0"/>
    <d v="2024-06-26T00:00:00"/>
    <x v="0"/>
    <n v="15"/>
    <x v="2"/>
    <s v="Yes"/>
    <x v="0"/>
    <s v="Yes"/>
    <n v="20"/>
    <n v="7"/>
    <n v="58"/>
  </r>
  <r>
    <n v="3353"/>
    <x v="121"/>
    <x v="2"/>
    <d v="2024-06-27T00:00:00"/>
    <x v="1"/>
    <n v="10"/>
    <x v="0"/>
    <s v="No"/>
    <x v="1"/>
    <s v="Yes"/>
    <n v="20"/>
    <n v="10"/>
    <n v="20"/>
  </r>
  <r>
    <n v="3354"/>
    <x v="122"/>
    <x v="1"/>
    <d v="2024-06-28T00:00:00"/>
    <x v="0"/>
    <n v="5"/>
    <x v="1"/>
    <s v="No"/>
    <x v="1"/>
    <s v="No"/>
    <n v="0"/>
    <n v="0"/>
    <n v="5"/>
  </r>
  <r>
    <n v="3355"/>
    <x v="123"/>
    <x v="0"/>
    <d v="2024-06-29T00:00:00"/>
    <x v="1"/>
    <n v="15"/>
    <x v="0"/>
    <s v="Yes"/>
    <x v="0"/>
    <s v="Yes"/>
    <n v="20"/>
    <n v="20"/>
    <n v="45"/>
  </r>
  <r>
    <n v="3356"/>
    <x v="124"/>
    <x v="2"/>
    <d v="2024-06-30T00:00:00"/>
    <x v="0"/>
    <n v="10"/>
    <x v="2"/>
    <s v="No"/>
    <x v="1"/>
    <s v="Yes"/>
    <n v="20"/>
    <n v="15"/>
    <n v="15"/>
  </r>
  <r>
    <n v="3357"/>
    <x v="125"/>
    <x v="1"/>
    <d v="2024-07-01T00:00:00"/>
    <x v="1"/>
    <n v="5"/>
    <x v="0"/>
    <s v="No"/>
    <x v="1"/>
    <s v="No"/>
    <n v="0"/>
    <n v="1"/>
    <n v="4"/>
  </r>
  <r>
    <n v="3358"/>
    <x v="126"/>
    <x v="0"/>
    <d v="2024-07-02T00:00:00"/>
    <x v="0"/>
    <n v="15"/>
    <x v="1"/>
    <s v="Yes"/>
    <x v="0"/>
    <s v="Yes"/>
    <n v="20"/>
    <n v="3"/>
    <n v="62"/>
  </r>
  <r>
    <n v="3359"/>
    <x v="127"/>
    <x v="2"/>
    <d v="2024-07-03T00:00:00"/>
    <x v="1"/>
    <n v="10"/>
    <x v="0"/>
    <s v="No"/>
    <x v="1"/>
    <s v="Yes"/>
    <n v="20"/>
    <n v="10"/>
    <n v="20"/>
  </r>
  <r>
    <n v="3360"/>
    <x v="128"/>
    <x v="1"/>
    <d v="2024-07-04T00:00:00"/>
    <x v="0"/>
    <n v="5"/>
    <x v="2"/>
    <s v="No"/>
    <x v="1"/>
    <s v="No"/>
    <n v="0"/>
    <n v="0"/>
    <n v="5"/>
  </r>
  <r>
    <n v="3361"/>
    <x v="129"/>
    <x v="0"/>
    <d v="2024-07-05T00:00:00"/>
    <x v="1"/>
    <n v="15"/>
    <x v="0"/>
    <s v="Yes"/>
    <x v="0"/>
    <s v="Yes"/>
    <n v="20"/>
    <n v="15"/>
    <n v="50"/>
  </r>
  <r>
    <n v="3362"/>
    <x v="130"/>
    <x v="2"/>
    <d v="2024-07-06T00:00:00"/>
    <x v="0"/>
    <n v="10"/>
    <x v="1"/>
    <s v="No"/>
    <x v="1"/>
    <s v="Yes"/>
    <n v="20"/>
    <n v="15"/>
    <n v="15"/>
  </r>
  <r>
    <n v="3363"/>
    <x v="131"/>
    <x v="1"/>
    <d v="2024-07-07T00:00:00"/>
    <x v="1"/>
    <n v="5"/>
    <x v="0"/>
    <s v="No"/>
    <x v="1"/>
    <s v="No"/>
    <n v="0"/>
    <n v="1"/>
    <n v="4"/>
  </r>
  <r>
    <n v="3364"/>
    <x v="132"/>
    <x v="0"/>
    <d v="2024-07-08T00:00:00"/>
    <x v="0"/>
    <n v="15"/>
    <x v="2"/>
    <s v="Yes"/>
    <x v="0"/>
    <s v="Yes"/>
    <n v="20"/>
    <n v="7"/>
    <n v="58"/>
  </r>
  <r>
    <n v="3365"/>
    <x v="133"/>
    <x v="2"/>
    <d v="2024-07-09T00:00:00"/>
    <x v="1"/>
    <n v="10"/>
    <x v="0"/>
    <s v="No"/>
    <x v="1"/>
    <s v="Yes"/>
    <n v="20"/>
    <n v="10"/>
    <n v="20"/>
  </r>
  <r>
    <n v="3366"/>
    <x v="134"/>
    <x v="1"/>
    <d v="2024-07-10T00:00:00"/>
    <x v="0"/>
    <n v="5"/>
    <x v="0"/>
    <s v="No"/>
    <x v="1"/>
    <s v="No"/>
    <n v="0"/>
    <n v="0"/>
    <n v="5"/>
  </r>
  <r>
    <n v="3367"/>
    <x v="135"/>
    <x v="0"/>
    <d v="2024-07-11T00:00:00"/>
    <x v="1"/>
    <n v="15"/>
    <x v="2"/>
    <s v="Yes"/>
    <x v="0"/>
    <s v="Yes"/>
    <n v="20"/>
    <n v="7"/>
    <n v="58"/>
  </r>
  <r>
    <n v="3368"/>
    <x v="136"/>
    <x v="2"/>
    <d v="2024-07-12T00:00:00"/>
    <x v="0"/>
    <n v="10"/>
    <x v="1"/>
    <s v="No"/>
    <x v="1"/>
    <s v="Yes"/>
    <n v="20"/>
    <n v="10"/>
    <n v="20"/>
  </r>
  <r>
    <n v="3369"/>
    <x v="137"/>
    <x v="1"/>
    <d v="2024-07-13T00:00:00"/>
    <x v="1"/>
    <n v="5"/>
    <x v="2"/>
    <s v="No"/>
    <x v="1"/>
    <s v="No"/>
    <n v="0"/>
    <n v="1"/>
    <n v="4"/>
  </r>
  <r>
    <n v="3370"/>
    <x v="138"/>
    <x v="0"/>
    <d v="2024-07-14T00:00:00"/>
    <x v="0"/>
    <n v="15"/>
    <x v="0"/>
    <s v="Yes"/>
    <x v="0"/>
    <s v="Yes"/>
    <n v="20"/>
    <n v="15"/>
    <n v="50"/>
  </r>
  <r>
    <n v="3371"/>
    <x v="139"/>
    <x v="2"/>
    <d v="2024-07-15T00:00:00"/>
    <x v="1"/>
    <n v="10"/>
    <x v="0"/>
    <s v="No"/>
    <x v="1"/>
    <s v="Yes"/>
    <n v="20"/>
    <n v="5"/>
    <n v="25"/>
  </r>
  <r>
    <n v="3372"/>
    <x v="140"/>
    <x v="1"/>
    <d v="2024-07-16T00:00:00"/>
    <x v="0"/>
    <n v="5"/>
    <x v="1"/>
    <s v="No"/>
    <x v="1"/>
    <s v="No"/>
    <n v="0"/>
    <n v="0"/>
    <n v="5"/>
  </r>
  <r>
    <n v="3373"/>
    <x v="141"/>
    <x v="0"/>
    <d v="2024-07-17T00:00:00"/>
    <x v="1"/>
    <n v="15"/>
    <x v="2"/>
    <s v="Yes"/>
    <x v="0"/>
    <s v="Yes"/>
    <n v="20"/>
    <n v="20"/>
    <n v="45"/>
  </r>
  <r>
    <n v="3374"/>
    <x v="142"/>
    <x v="2"/>
    <d v="2024-07-18T00:00:00"/>
    <x v="0"/>
    <n v="10"/>
    <x v="2"/>
    <s v="No"/>
    <x v="1"/>
    <s v="Yes"/>
    <n v="20"/>
    <n v="12"/>
    <n v="18"/>
  </r>
  <r>
    <n v="3375"/>
    <x v="143"/>
    <x v="1"/>
    <d v="2024-07-19T00:00:00"/>
    <x v="1"/>
    <n v="5"/>
    <x v="0"/>
    <s v="No"/>
    <x v="1"/>
    <s v="No"/>
    <n v="0"/>
    <n v="2"/>
    <n v="3"/>
  </r>
  <r>
    <n v="3376"/>
    <x v="144"/>
    <x v="0"/>
    <d v="2024-07-20T00:00:00"/>
    <x v="0"/>
    <n v="15"/>
    <x v="1"/>
    <s v="Yes"/>
    <x v="0"/>
    <s v="Yes"/>
    <n v="20"/>
    <n v="5"/>
    <n v="60"/>
  </r>
  <r>
    <n v="3377"/>
    <x v="145"/>
    <x v="2"/>
    <d v="2024-07-21T00:00:00"/>
    <x v="1"/>
    <n v="10"/>
    <x v="0"/>
    <s v="No"/>
    <x v="1"/>
    <s v="Yes"/>
    <n v="20"/>
    <n v="10"/>
    <n v="20"/>
  </r>
  <r>
    <n v="3378"/>
    <x v="146"/>
    <x v="1"/>
    <d v="2024-07-22T00:00:00"/>
    <x v="0"/>
    <n v="5"/>
    <x v="2"/>
    <s v="No"/>
    <x v="1"/>
    <s v="No"/>
    <n v="0"/>
    <n v="0"/>
    <n v="5"/>
  </r>
  <r>
    <n v="3379"/>
    <x v="147"/>
    <x v="0"/>
    <d v="2024-07-23T00:00:00"/>
    <x v="1"/>
    <n v="15"/>
    <x v="0"/>
    <s v="Yes"/>
    <x v="0"/>
    <s v="Yes"/>
    <n v="20"/>
    <n v="3"/>
    <n v="62"/>
  </r>
  <r>
    <n v="3380"/>
    <x v="148"/>
    <x v="2"/>
    <d v="2024-07-24T00:00:00"/>
    <x v="0"/>
    <n v="10"/>
    <x v="1"/>
    <s v="No"/>
    <x v="1"/>
    <s v="Yes"/>
    <n v="20"/>
    <n v="15"/>
    <n v="15"/>
  </r>
  <r>
    <n v="3381"/>
    <x v="149"/>
    <x v="1"/>
    <d v="2024-07-25T00:00:00"/>
    <x v="1"/>
    <n v="5"/>
    <x v="0"/>
    <s v="No"/>
    <x v="1"/>
    <s v="No"/>
    <n v="0"/>
    <n v="1"/>
    <n v="4"/>
  </r>
  <r>
    <n v="3382"/>
    <x v="150"/>
    <x v="0"/>
    <d v="2024-07-26T00:00:00"/>
    <x v="0"/>
    <n v="15"/>
    <x v="2"/>
    <s v="Yes"/>
    <x v="0"/>
    <s v="Yes"/>
    <n v="20"/>
    <n v="7"/>
    <n v="58"/>
  </r>
  <r>
    <n v="3383"/>
    <x v="151"/>
    <x v="2"/>
    <d v="2024-07-27T00:00:00"/>
    <x v="1"/>
    <n v="10"/>
    <x v="0"/>
    <s v="No"/>
    <x v="1"/>
    <s v="Yes"/>
    <n v="20"/>
    <n v="10"/>
    <n v="20"/>
  </r>
  <r>
    <n v="3384"/>
    <x v="152"/>
    <x v="1"/>
    <d v="2024-07-28T00:00:00"/>
    <x v="0"/>
    <n v="5"/>
    <x v="1"/>
    <s v="No"/>
    <x v="1"/>
    <s v="No"/>
    <n v="0"/>
    <n v="0"/>
    <n v="5"/>
  </r>
  <r>
    <n v="3385"/>
    <x v="153"/>
    <x v="0"/>
    <d v="2024-07-29T00:00:00"/>
    <x v="1"/>
    <n v="15"/>
    <x v="0"/>
    <s v="Yes"/>
    <x v="0"/>
    <s v="Yes"/>
    <n v="20"/>
    <n v="20"/>
    <n v="45"/>
  </r>
  <r>
    <n v="3386"/>
    <x v="154"/>
    <x v="2"/>
    <d v="2024-07-30T00:00:00"/>
    <x v="0"/>
    <n v="10"/>
    <x v="2"/>
    <s v="No"/>
    <x v="1"/>
    <s v="Yes"/>
    <n v="20"/>
    <n v="15"/>
    <n v="15"/>
  </r>
  <r>
    <n v="3387"/>
    <x v="155"/>
    <x v="1"/>
    <d v="2024-07-31T00:00:00"/>
    <x v="1"/>
    <n v="5"/>
    <x v="0"/>
    <s v="No"/>
    <x v="1"/>
    <s v="No"/>
    <n v="0"/>
    <n v="1"/>
    <n v="4"/>
  </r>
  <r>
    <n v="3388"/>
    <x v="156"/>
    <x v="0"/>
    <d v="2024-08-01T00:00:00"/>
    <x v="0"/>
    <n v="15"/>
    <x v="1"/>
    <s v="Yes"/>
    <x v="0"/>
    <s v="Yes"/>
    <n v="20"/>
    <n v="3"/>
    <n v="62"/>
  </r>
  <r>
    <n v="3389"/>
    <x v="157"/>
    <x v="2"/>
    <d v="2024-08-02T00:00:00"/>
    <x v="1"/>
    <n v="10"/>
    <x v="0"/>
    <s v="No"/>
    <x v="1"/>
    <s v="Yes"/>
    <n v="20"/>
    <n v="10"/>
    <n v="20"/>
  </r>
  <r>
    <n v="3390"/>
    <x v="158"/>
    <x v="1"/>
    <d v="2024-08-03T00:00:00"/>
    <x v="0"/>
    <n v="5"/>
    <x v="2"/>
    <s v="No"/>
    <x v="1"/>
    <s v="No"/>
    <n v="0"/>
    <n v="0"/>
    <n v="5"/>
  </r>
  <r>
    <n v="3391"/>
    <x v="58"/>
    <x v="0"/>
    <d v="2024-08-04T00:00:00"/>
    <x v="1"/>
    <n v="15"/>
    <x v="0"/>
    <s v="Yes"/>
    <x v="0"/>
    <s v="Yes"/>
    <n v="20"/>
    <n v="15"/>
    <n v="50"/>
  </r>
  <r>
    <n v="3392"/>
    <x v="159"/>
    <x v="2"/>
    <d v="2024-08-05T00:00:00"/>
    <x v="0"/>
    <n v="10"/>
    <x v="1"/>
    <s v="No"/>
    <x v="1"/>
    <s v="Yes"/>
    <n v="20"/>
    <n v="15"/>
    <n v="15"/>
  </r>
  <r>
    <n v="3393"/>
    <x v="160"/>
    <x v="1"/>
    <d v="2024-08-06T00:00:00"/>
    <x v="1"/>
    <n v="5"/>
    <x v="0"/>
    <s v="No"/>
    <x v="1"/>
    <s v="No"/>
    <n v="0"/>
    <n v="1"/>
    <n v="4"/>
  </r>
  <r>
    <n v="3394"/>
    <x v="161"/>
    <x v="0"/>
    <d v="2024-08-07T00:00:00"/>
    <x v="0"/>
    <n v="15"/>
    <x v="2"/>
    <s v="Yes"/>
    <x v="0"/>
    <s v="Yes"/>
    <n v="20"/>
    <n v="7"/>
    <n v="58"/>
  </r>
  <r>
    <n v="3395"/>
    <x v="162"/>
    <x v="2"/>
    <d v="2024-08-08T00:00:00"/>
    <x v="1"/>
    <n v="10"/>
    <x v="0"/>
    <s v="No"/>
    <x v="1"/>
    <s v="Yes"/>
    <n v="20"/>
    <n v="10"/>
    <n v="20"/>
  </r>
  <r>
    <n v="3396"/>
    <x v="163"/>
    <x v="1"/>
    <d v="2024-08-09T00:00:00"/>
    <x v="0"/>
    <n v="5"/>
    <x v="1"/>
    <s v="No"/>
    <x v="1"/>
    <s v="No"/>
    <n v="0"/>
    <n v="0"/>
    <n v="5"/>
  </r>
  <r>
    <n v="3397"/>
    <x v="90"/>
    <x v="0"/>
    <d v="2024-08-10T00:00:00"/>
    <x v="1"/>
    <n v="15"/>
    <x v="0"/>
    <s v="Yes"/>
    <x v="0"/>
    <s v="Yes"/>
    <n v="20"/>
    <n v="20"/>
    <n v="45"/>
  </r>
  <r>
    <n v="3398"/>
    <x v="164"/>
    <x v="2"/>
    <d v="2024-08-11T00:00:00"/>
    <x v="0"/>
    <n v="10"/>
    <x v="2"/>
    <s v="No"/>
    <x v="1"/>
    <s v="Yes"/>
    <n v="20"/>
    <n v="15"/>
    <n v="15"/>
  </r>
  <r>
    <n v="3399"/>
    <x v="165"/>
    <x v="1"/>
    <d v="2024-08-12T00:00:00"/>
    <x v="1"/>
    <n v="5"/>
    <x v="0"/>
    <s v="No"/>
    <x v="1"/>
    <s v="No"/>
    <n v="0"/>
    <n v="1"/>
    <n v="4"/>
  </r>
  <r>
    <n v="3400"/>
    <x v="166"/>
    <x v="0"/>
    <d v="2024-08-13T00:00:00"/>
    <x v="0"/>
    <n v="15"/>
    <x v="1"/>
    <s v="Yes"/>
    <x v="0"/>
    <s v="Yes"/>
    <n v="20"/>
    <n v="5"/>
    <n v="60"/>
  </r>
  <r>
    <n v="3401"/>
    <x v="167"/>
    <x v="2"/>
    <d v="2024-08-14T00:00:00"/>
    <x v="1"/>
    <n v="10"/>
    <x v="0"/>
    <s v="No"/>
    <x v="1"/>
    <s v="Yes"/>
    <n v="20"/>
    <n v="10"/>
    <n v="20"/>
  </r>
  <r>
    <n v="3402"/>
    <x v="168"/>
    <x v="1"/>
    <d v="2024-08-15T00:00:00"/>
    <x v="0"/>
    <n v="5"/>
    <x v="2"/>
    <s v="No"/>
    <x v="1"/>
    <s v="No"/>
    <n v="0"/>
    <n v="0"/>
    <n v="5"/>
  </r>
  <r>
    <n v="3403"/>
    <x v="169"/>
    <x v="0"/>
    <d v="2024-08-16T00:00:00"/>
    <x v="1"/>
    <n v="15"/>
    <x v="0"/>
    <s v="Yes"/>
    <x v="0"/>
    <s v="Yes"/>
    <n v="20"/>
    <n v="3"/>
    <n v="62"/>
  </r>
  <r>
    <n v="3404"/>
    <x v="170"/>
    <x v="2"/>
    <d v="2024-08-17T00:00:00"/>
    <x v="0"/>
    <n v="10"/>
    <x v="1"/>
    <s v="No"/>
    <x v="1"/>
    <s v="Yes"/>
    <n v="20"/>
    <n v="15"/>
    <n v="15"/>
  </r>
  <r>
    <n v="3405"/>
    <x v="171"/>
    <x v="1"/>
    <d v="2024-08-18T00:00:00"/>
    <x v="1"/>
    <n v="5"/>
    <x v="0"/>
    <s v="No"/>
    <x v="1"/>
    <s v="No"/>
    <n v="0"/>
    <n v="1"/>
    <n v="4"/>
  </r>
  <r>
    <n v="3406"/>
    <x v="172"/>
    <x v="1"/>
    <d v="2024-08-19T00:00:00"/>
    <x v="0"/>
    <n v="5"/>
    <x v="0"/>
    <s v="No"/>
    <x v="1"/>
    <s v="No"/>
    <n v="0"/>
    <n v="0"/>
    <n v="5"/>
  </r>
  <r>
    <n v="3407"/>
    <x v="173"/>
    <x v="0"/>
    <d v="2024-08-20T00:00:00"/>
    <x v="1"/>
    <n v="15"/>
    <x v="2"/>
    <s v="Yes"/>
    <x v="0"/>
    <s v="Yes"/>
    <n v="20"/>
    <n v="7"/>
    <n v="58"/>
  </r>
  <r>
    <n v="3408"/>
    <x v="174"/>
    <x v="2"/>
    <d v="2024-08-21T00:00:00"/>
    <x v="0"/>
    <n v="10"/>
    <x v="1"/>
    <s v="No"/>
    <x v="1"/>
    <s v="Yes"/>
    <n v="20"/>
    <n v="10"/>
    <n v="20"/>
  </r>
  <r>
    <n v="3409"/>
    <x v="175"/>
    <x v="1"/>
    <d v="2024-08-22T00:00:00"/>
    <x v="1"/>
    <n v="5"/>
    <x v="2"/>
    <s v="No"/>
    <x v="1"/>
    <s v="No"/>
    <n v="0"/>
    <n v="1"/>
    <n v="4"/>
  </r>
  <r>
    <n v="3410"/>
    <x v="176"/>
    <x v="0"/>
    <d v="2024-08-23T00:00:00"/>
    <x v="0"/>
    <n v="15"/>
    <x v="0"/>
    <s v="Yes"/>
    <x v="0"/>
    <s v="Yes"/>
    <n v="20"/>
    <n v="15"/>
    <n v="50"/>
  </r>
  <r>
    <n v="3411"/>
    <x v="177"/>
    <x v="2"/>
    <d v="2024-08-24T00:00:00"/>
    <x v="1"/>
    <n v="10"/>
    <x v="0"/>
    <s v="No"/>
    <x v="1"/>
    <s v="Yes"/>
    <n v="20"/>
    <n v="5"/>
    <n v="25"/>
  </r>
  <r>
    <n v="3412"/>
    <x v="178"/>
    <x v="1"/>
    <d v="2024-08-25T00:00:00"/>
    <x v="0"/>
    <n v="5"/>
    <x v="1"/>
    <s v="No"/>
    <x v="1"/>
    <s v="No"/>
    <n v="0"/>
    <n v="0"/>
    <n v="5"/>
  </r>
  <r>
    <n v="3413"/>
    <x v="179"/>
    <x v="0"/>
    <d v="2024-08-26T00:00:00"/>
    <x v="1"/>
    <n v="15"/>
    <x v="2"/>
    <s v="Yes"/>
    <x v="0"/>
    <s v="Yes"/>
    <n v="20"/>
    <n v="20"/>
    <n v="45"/>
  </r>
  <r>
    <n v="3414"/>
    <x v="180"/>
    <x v="2"/>
    <d v="2024-08-27T00:00:00"/>
    <x v="0"/>
    <n v="10"/>
    <x v="2"/>
    <s v="No"/>
    <x v="1"/>
    <s v="Yes"/>
    <n v="20"/>
    <n v="12"/>
    <n v="18"/>
  </r>
  <r>
    <n v="3415"/>
    <x v="181"/>
    <x v="1"/>
    <d v="2024-08-28T00:00:00"/>
    <x v="1"/>
    <n v="5"/>
    <x v="0"/>
    <s v="No"/>
    <x v="1"/>
    <s v="No"/>
    <n v="0"/>
    <n v="2"/>
    <n v="3"/>
  </r>
  <r>
    <n v="3416"/>
    <x v="182"/>
    <x v="0"/>
    <d v="2024-08-29T00:00:00"/>
    <x v="0"/>
    <n v="15"/>
    <x v="1"/>
    <s v="Yes"/>
    <x v="0"/>
    <s v="Yes"/>
    <n v="20"/>
    <n v="5"/>
    <n v="60"/>
  </r>
  <r>
    <n v="3417"/>
    <x v="183"/>
    <x v="2"/>
    <d v="2024-08-30T00:00:00"/>
    <x v="1"/>
    <n v="10"/>
    <x v="0"/>
    <s v="No"/>
    <x v="1"/>
    <s v="Yes"/>
    <n v="20"/>
    <n v="10"/>
    <n v="20"/>
  </r>
  <r>
    <n v="3418"/>
    <x v="184"/>
    <x v="1"/>
    <d v="2024-08-31T00:00:00"/>
    <x v="0"/>
    <n v="5"/>
    <x v="2"/>
    <s v="No"/>
    <x v="1"/>
    <s v="No"/>
    <n v="0"/>
    <n v="0"/>
    <n v="5"/>
  </r>
  <r>
    <n v="3419"/>
    <x v="185"/>
    <x v="0"/>
    <d v="2024-09-01T00:00:00"/>
    <x v="1"/>
    <n v="15"/>
    <x v="0"/>
    <s v="Yes"/>
    <x v="0"/>
    <s v="Yes"/>
    <n v="20"/>
    <n v="3"/>
    <n v="62"/>
  </r>
  <r>
    <n v="3420"/>
    <x v="186"/>
    <x v="2"/>
    <d v="2024-09-02T00:00:00"/>
    <x v="0"/>
    <n v="10"/>
    <x v="1"/>
    <s v="No"/>
    <x v="1"/>
    <s v="Yes"/>
    <n v="20"/>
    <n v="15"/>
    <n v="15"/>
  </r>
  <r>
    <n v="3421"/>
    <x v="15"/>
    <x v="1"/>
    <d v="2024-09-03T00:00:00"/>
    <x v="1"/>
    <n v="5"/>
    <x v="0"/>
    <s v="No"/>
    <x v="1"/>
    <s v="No"/>
    <n v="0"/>
    <n v="1"/>
    <n v="4"/>
  </r>
  <r>
    <n v="3422"/>
    <x v="187"/>
    <x v="0"/>
    <d v="2024-09-04T00:00:00"/>
    <x v="0"/>
    <n v="15"/>
    <x v="2"/>
    <s v="Yes"/>
    <x v="0"/>
    <s v="Yes"/>
    <n v="20"/>
    <n v="7"/>
    <n v="58"/>
  </r>
  <r>
    <n v="3423"/>
    <x v="188"/>
    <x v="2"/>
    <d v="2024-09-05T00:00:00"/>
    <x v="1"/>
    <n v="10"/>
    <x v="0"/>
    <s v="No"/>
    <x v="1"/>
    <s v="Yes"/>
    <n v="20"/>
    <n v="10"/>
    <n v="20"/>
  </r>
  <r>
    <n v="3424"/>
    <x v="14"/>
    <x v="1"/>
    <d v="2024-09-06T00:00:00"/>
    <x v="0"/>
    <n v="5"/>
    <x v="1"/>
    <s v="No"/>
    <x v="1"/>
    <s v="No"/>
    <n v="0"/>
    <n v="0"/>
    <n v="5"/>
  </r>
  <r>
    <n v="3425"/>
    <x v="189"/>
    <x v="0"/>
    <d v="2024-09-07T00:00:00"/>
    <x v="1"/>
    <n v="15"/>
    <x v="0"/>
    <s v="Yes"/>
    <x v="0"/>
    <s v="Yes"/>
    <n v="20"/>
    <n v="20"/>
    <n v="45"/>
  </r>
  <r>
    <n v="3426"/>
    <x v="167"/>
    <x v="2"/>
    <d v="2024-09-08T00:00:00"/>
    <x v="0"/>
    <n v="10"/>
    <x v="2"/>
    <s v="No"/>
    <x v="1"/>
    <s v="Yes"/>
    <n v="20"/>
    <n v="15"/>
    <n v="15"/>
  </r>
  <r>
    <n v="3427"/>
    <x v="190"/>
    <x v="1"/>
    <d v="2024-09-09T00:00:00"/>
    <x v="1"/>
    <n v="5"/>
    <x v="0"/>
    <s v="No"/>
    <x v="1"/>
    <s v="No"/>
    <n v="0"/>
    <n v="1"/>
    <n v="4"/>
  </r>
  <r>
    <n v="3428"/>
    <x v="191"/>
    <x v="0"/>
    <d v="2024-09-10T00:00:00"/>
    <x v="0"/>
    <n v="15"/>
    <x v="1"/>
    <s v="Yes"/>
    <x v="0"/>
    <s v="Yes"/>
    <n v="20"/>
    <n v="3"/>
    <n v="62"/>
  </r>
  <r>
    <n v="3429"/>
    <x v="192"/>
    <x v="2"/>
    <d v="2024-09-11T00:00:00"/>
    <x v="1"/>
    <n v="10"/>
    <x v="0"/>
    <s v="No"/>
    <x v="1"/>
    <s v="Yes"/>
    <n v="20"/>
    <n v="10"/>
    <n v="20"/>
  </r>
  <r>
    <n v="3430"/>
    <x v="193"/>
    <x v="1"/>
    <d v="2024-09-12T00:00:00"/>
    <x v="0"/>
    <n v="5"/>
    <x v="2"/>
    <s v="No"/>
    <x v="1"/>
    <s v="No"/>
    <n v="0"/>
    <n v="0"/>
    <n v="5"/>
  </r>
  <r>
    <n v="3431"/>
    <x v="194"/>
    <x v="0"/>
    <d v="2024-09-13T00:00:00"/>
    <x v="1"/>
    <n v="15"/>
    <x v="0"/>
    <s v="Yes"/>
    <x v="0"/>
    <s v="Yes"/>
    <n v="20"/>
    <n v="15"/>
    <n v="50"/>
  </r>
  <r>
    <n v="3432"/>
    <x v="195"/>
    <x v="2"/>
    <d v="2024-09-14T00:00:00"/>
    <x v="0"/>
    <n v="10"/>
    <x v="1"/>
    <s v="No"/>
    <x v="1"/>
    <s v="Yes"/>
    <n v="20"/>
    <n v="15"/>
    <n v="15"/>
  </r>
  <r>
    <n v="3433"/>
    <x v="196"/>
    <x v="1"/>
    <d v="2024-09-15T00:00:00"/>
    <x v="1"/>
    <n v="5"/>
    <x v="0"/>
    <s v="No"/>
    <x v="1"/>
    <s v="No"/>
    <n v="0"/>
    <n v="1"/>
    <n v="4"/>
  </r>
  <r>
    <n v="3434"/>
    <x v="197"/>
    <x v="0"/>
    <d v="2024-09-16T00:00:00"/>
    <x v="0"/>
    <n v="15"/>
    <x v="2"/>
    <s v="Yes"/>
    <x v="0"/>
    <s v="Yes"/>
    <n v="20"/>
    <n v="7"/>
    <n v="58"/>
  </r>
  <r>
    <n v="3435"/>
    <x v="198"/>
    <x v="2"/>
    <d v="2024-09-17T00:00:00"/>
    <x v="1"/>
    <n v="10"/>
    <x v="0"/>
    <s v="No"/>
    <x v="1"/>
    <s v="Yes"/>
    <n v="20"/>
    <n v="10"/>
    <n v="20"/>
  </r>
  <r>
    <n v="3436"/>
    <x v="199"/>
    <x v="1"/>
    <d v="2024-09-18T00:00:00"/>
    <x v="0"/>
    <n v="5"/>
    <x v="0"/>
    <s v="No"/>
    <x v="1"/>
    <s v="No"/>
    <n v="0"/>
    <n v="0"/>
    <n v="5"/>
  </r>
  <r>
    <n v="3437"/>
    <x v="200"/>
    <x v="0"/>
    <d v="2024-09-19T00:00:00"/>
    <x v="1"/>
    <n v="15"/>
    <x v="2"/>
    <s v="Yes"/>
    <x v="0"/>
    <s v="Yes"/>
    <n v="20"/>
    <n v="7"/>
    <n v="58"/>
  </r>
  <r>
    <n v="3438"/>
    <x v="201"/>
    <x v="2"/>
    <d v="2024-09-20T00:00:00"/>
    <x v="0"/>
    <n v="10"/>
    <x v="1"/>
    <s v="No"/>
    <x v="1"/>
    <s v="Yes"/>
    <n v="20"/>
    <n v="10"/>
    <n v="20"/>
  </r>
  <r>
    <n v="3439"/>
    <x v="202"/>
    <x v="1"/>
    <d v="2024-09-21T00:00:00"/>
    <x v="1"/>
    <n v="5"/>
    <x v="2"/>
    <s v="No"/>
    <x v="1"/>
    <s v="No"/>
    <n v="0"/>
    <n v="1"/>
    <n v="4"/>
  </r>
  <r>
    <n v="3440"/>
    <x v="203"/>
    <x v="0"/>
    <d v="2024-09-22T00:00:00"/>
    <x v="0"/>
    <n v="15"/>
    <x v="0"/>
    <s v="Yes"/>
    <x v="0"/>
    <s v="Yes"/>
    <n v="20"/>
    <n v="15"/>
    <n v="50"/>
  </r>
  <r>
    <n v="3441"/>
    <x v="204"/>
    <x v="2"/>
    <d v="2024-09-23T00:00:00"/>
    <x v="1"/>
    <n v="10"/>
    <x v="0"/>
    <s v="No"/>
    <x v="1"/>
    <s v="Yes"/>
    <n v="20"/>
    <n v="5"/>
    <n v="25"/>
  </r>
  <r>
    <n v="3442"/>
    <x v="205"/>
    <x v="1"/>
    <d v="2024-09-24T00:00:00"/>
    <x v="0"/>
    <n v="5"/>
    <x v="1"/>
    <s v="No"/>
    <x v="1"/>
    <s v="No"/>
    <n v="0"/>
    <n v="0"/>
    <n v="5"/>
  </r>
  <r>
    <n v="3443"/>
    <x v="206"/>
    <x v="0"/>
    <d v="2024-09-25T00:00:00"/>
    <x v="1"/>
    <n v="15"/>
    <x v="2"/>
    <s v="Yes"/>
    <x v="0"/>
    <s v="Yes"/>
    <n v="20"/>
    <n v="20"/>
    <n v="45"/>
  </r>
  <r>
    <n v="3444"/>
    <x v="207"/>
    <x v="2"/>
    <d v="2024-09-26T00:00:00"/>
    <x v="0"/>
    <n v="10"/>
    <x v="2"/>
    <s v="No"/>
    <x v="1"/>
    <s v="Yes"/>
    <n v="20"/>
    <n v="12"/>
    <n v="18"/>
  </r>
  <r>
    <n v="3445"/>
    <x v="37"/>
    <x v="1"/>
    <d v="2024-09-27T00:00:00"/>
    <x v="1"/>
    <n v="5"/>
    <x v="0"/>
    <s v="No"/>
    <x v="1"/>
    <s v="No"/>
    <n v="0"/>
    <n v="2"/>
    <n v="3"/>
  </r>
  <r>
    <n v="3446"/>
    <x v="208"/>
    <x v="0"/>
    <d v="2024-09-28T00:00:00"/>
    <x v="0"/>
    <n v="15"/>
    <x v="1"/>
    <s v="Yes"/>
    <x v="0"/>
    <s v="Yes"/>
    <n v="20"/>
    <n v="5"/>
    <n v="60"/>
  </r>
  <r>
    <n v="3447"/>
    <x v="209"/>
    <x v="2"/>
    <d v="2024-09-29T00:00:00"/>
    <x v="1"/>
    <n v="10"/>
    <x v="0"/>
    <s v="No"/>
    <x v="1"/>
    <s v="Yes"/>
    <n v="20"/>
    <n v="10"/>
    <n v="20"/>
  </r>
  <r>
    <n v="3448"/>
    <x v="210"/>
    <x v="1"/>
    <d v="2024-09-30T00:00:00"/>
    <x v="0"/>
    <n v="5"/>
    <x v="2"/>
    <s v="No"/>
    <x v="1"/>
    <s v="No"/>
    <n v="0"/>
    <n v="0"/>
    <n v="5"/>
  </r>
  <r>
    <n v="3449"/>
    <x v="211"/>
    <x v="0"/>
    <d v="2024-10-01T00:00:00"/>
    <x v="1"/>
    <n v="15"/>
    <x v="0"/>
    <s v="Yes"/>
    <x v="0"/>
    <s v="Yes"/>
    <n v="20"/>
    <n v="3"/>
    <n v="62"/>
  </r>
  <r>
    <n v="3450"/>
    <x v="212"/>
    <x v="2"/>
    <d v="2024-10-02T00:00:00"/>
    <x v="0"/>
    <n v="10"/>
    <x v="1"/>
    <s v="No"/>
    <x v="1"/>
    <s v="Yes"/>
    <n v="20"/>
    <n v="15"/>
    <n v="15"/>
  </r>
  <r>
    <n v="3451"/>
    <x v="213"/>
    <x v="1"/>
    <d v="2024-10-03T00:00:00"/>
    <x v="1"/>
    <n v="5"/>
    <x v="0"/>
    <s v="No"/>
    <x v="1"/>
    <s v="No"/>
    <n v="0"/>
    <n v="1"/>
    <n v="4"/>
  </r>
  <r>
    <n v="3452"/>
    <x v="191"/>
    <x v="0"/>
    <d v="2024-10-04T00:00:00"/>
    <x v="0"/>
    <n v="15"/>
    <x v="2"/>
    <s v="Yes"/>
    <x v="0"/>
    <s v="Yes"/>
    <n v="20"/>
    <n v="7"/>
    <n v="58"/>
  </r>
  <r>
    <n v="3453"/>
    <x v="45"/>
    <x v="2"/>
    <d v="2024-10-05T00:00:00"/>
    <x v="1"/>
    <n v="10"/>
    <x v="0"/>
    <s v="No"/>
    <x v="1"/>
    <s v="Yes"/>
    <n v="20"/>
    <n v="10"/>
    <n v="20"/>
  </r>
  <r>
    <n v="3454"/>
    <x v="214"/>
    <x v="1"/>
    <d v="2024-10-06T00:00:00"/>
    <x v="0"/>
    <n v="5"/>
    <x v="1"/>
    <s v="No"/>
    <x v="1"/>
    <s v="No"/>
    <n v="0"/>
    <n v="0"/>
    <n v="5"/>
  </r>
  <r>
    <n v="3455"/>
    <x v="215"/>
    <x v="0"/>
    <d v="2024-10-07T00:00:00"/>
    <x v="1"/>
    <n v="15"/>
    <x v="0"/>
    <s v="Yes"/>
    <x v="0"/>
    <s v="Yes"/>
    <n v="20"/>
    <n v="20"/>
    <n v="45"/>
  </r>
  <r>
    <n v="3456"/>
    <x v="216"/>
    <x v="2"/>
    <d v="2024-10-08T00:00:00"/>
    <x v="0"/>
    <n v="10"/>
    <x v="2"/>
    <s v="No"/>
    <x v="1"/>
    <s v="Yes"/>
    <n v="20"/>
    <n v="15"/>
    <n v="15"/>
  </r>
  <r>
    <n v="3457"/>
    <x v="217"/>
    <x v="1"/>
    <d v="2024-10-09T00:00:00"/>
    <x v="1"/>
    <n v="5"/>
    <x v="0"/>
    <s v="No"/>
    <x v="1"/>
    <s v="No"/>
    <n v="0"/>
    <n v="1"/>
    <n v="4"/>
  </r>
  <r>
    <n v="3458"/>
    <x v="218"/>
    <x v="0"/>
    <d v="2024-10-10T00:00:00"/>
    <x v="0"/>
    <n v="15"/>
    <x v="1"/>
    <s v="Yes"/>
    <x v="0"/>
    <s v="Yes"/>
    <n v="20"/>
    <n v="3"/>
    <n v="62"/>
  </r>
  <r>
    <n v="3459"/>
    <x v="219"/>
    <x v="2"/>
    <d v="2024-10-11T00:00:00"/>
    <x v="1"/>
    <n v="10"/>
    <x v="0"/>
    <s v="No"/>
    <x v="1"/>
    <s v="Yes"/>
    <n v="20"/>
    <n v="10"/>
    <n v="20"/>
  </r>
  <r>
    <n v="3460"/>
    <x v="127"/>
    <x v="1"/>
    <d v="2024-10-12T00:00:00"/>
    <x v="0"/>
    <n v="5"/>
    <x v="2"/>
    <s v="No"/>
    <x v="1"/>
    <s v="No"/>
    <n v="0"/>
    <n v="0"/>
    <n v="5"/>
  </r>
  <r>
    <n v="3461"/>
    <x v="220"/>
    <x v="0"/>
    <d v="2024-10-13T00:00:00"/>
    <x v="1"/>
    <n v="15"/>
    <x v="0"/>
    <s v="Yes"/>
    <x v="0"/>
    <s v="Yes"/>
    <n v="20"/>
    <n v="15"/>
    <n v="50"/>
  </r>
  <r>
    <n v="3462"/>
    <x v="221"/>
    <x v="2"/>
    <d v="2024-10-14T00:00:00"/>
    <x v="0"/>
    <n v="10"/>
    <x v="1"/>
    <s v="No"/>
    <x v="1"/>
    <s v="Yes"/>
    <n v="20"/>
    <n v="15"/>
    <n v="15"/>
  </r>
  <r>
    <n v="3463"/>
    <x v="222"/>
    <x v="1"/>
    <d v="2024-10-15T00:00:00"/>
    <x v="1"/>
    <n v="5"/>
    <x v="0"/>
    <s v="No"/>
    <x v="1"/>
    <s v="No"/>
    <n v="0"/>
    <n v="1"/>
    <n v="4"/>
  </r>
  <r>
    <n v="3464"/>
    <x v="223"/>
    <x v="0"/>
    <d v="2024-10-16T00:00:00"/>
    <x v="0"/>
    <n v="15"/>
    <x v="2"/>
    <s v="Yes"/>
    <x v="0"/>
    <s v="Yes"/>
    <n v="20"/>
    <n v="7"/>
    <n v="58"/>
  </r>
  <r>
    <n v="3465"/>
    <x v="224"/>
    <x v="2"/>
    <d v="2024-10-17T00:00:00"/>
    <x v="1"/>
    <n v="10"/>
    <x v="0"/>
    <s v="No"/>
    <x v="1"/>
    <s v="Yes"/>
    <n v="20"/>
    <n v="10"/>
    <n v="20"/>
  </r>
  <r>
    <n v="3466"/>
    <x v="225"/>
    <x v="1"/>
    <d v="2024-10-18T00:00:00"/>
    <x v="0"/>
    <n v="5"/>
    <x v="1"/>
    <s v="No"/>
    <x v="1"/>
    <s v="No"/>
    <n v="0"/>
    <n v="0"/>
    <n v="5"/>
  </r>
  <r>
    <n v="3467"/>
    <x v="226"/>
    <x v="0"/>
    <d v="2024-10-19T00:00:00"/>
    <x v="1"/>
    <n v="15"/>
    <x v="0"/>
    <s v="Yes"/>
    <x v="0"/>
    <s v="Yes"/>
    <n v="20"/>
    <n v="15"/>
    <n v="50"/>
  </r>
  <r>
    <n v="3468"/>
    <x v="227"/>
    <x v="2"/>
    <d v="2024-10-20T00:00:00"/>
    <x v="0"/>
    <n v="10"/>
    <x v="2"/>
    <s v="No"/>
    <x v="1"/>
    <s v="Yes"/>
    <n v="20"/>
    <n v="12"/>
    <n v="18"/>
  </r>
  <r>
    <n v="3469"/>
    <x v="228"/>
    <x v="1"/>
    <d v="2024-10-21T00:00:00"/>
    <x v="1"/>
    <n v="5"/>
    <x v="0"/>
    <s v="No"/>
    <x v="1"/>
    <s v="No"/>
    <n v="0"/>
    <n v="2"/>
    <n v="3"/>
  </r>
  <r>
    <n v="3470"/>
    <x v="229"/>
    <x v="0"/>
    <d v="2024-10-22T00:00:00"/>
    <x v="0"/>
    <n v="15"/>
    <x v="1"/>
    <s v="Yes"/>
    <x v="0"/>
    <s v="Yes"/>
    <n v="20"/>
    <n v="5"/>
    <n v="60"/>
  </r>
  <r>
    <n v="3471"/>
    <x v="230"/>
    <x v="2"/>
    <d v="2024-10-23T00:00:00"/>
    <x v="1"/>
    <n v="10"/>
    <x v="0"/>
    <s v="No"/>
    <x v="1"/>
    <s v="Yes"/>
    <n v="20"/>
    <n v="10"/>
    <n v="20"/>
  </r>
  <r>
    <n v="3472"/>
    <x v="231"/>
    <x v="1"/>
    <d v="2024-10-24T00:00:00"/>
    <x v="0"/>
    <n v="5"/>
    <x v="2"/>
    <s v="No"/>
    <x v="1"/>
    <s v="No"/>
    <n v="0"/>
    <n v="0"/>
    <n v="5"/>
  </r>
  <r>
    <n v="3473"/>
    <x v="140"/>
    <x v="0"/>
    <d v="2024-10-25T00:00:00"/>
    <x v="1"/>
    <n v="15"/>
    <x v="0"/>
    <s v="Yes"/>
    <x v="0"/>
    <s v="Yes"/>
    <n v="20"/>
    <n v="3"/>
    <n v="62"/>
  </r>
  <r>
    <n v="3474"/>
    <x v="232"/>
    <x v="2"/>
    <d v="2024-10-26T00:00:00"/>
    <x v="0"/>
    <n v="10"/>
    <x v="1"/>
    <s v="No"/>
    <x v="1"/>
    <s v="Yes"/>
    <n v="20"/>
    <n v="15"/>
    <n v="15"/>
  </r>
  <r>
    <n v="3475"/>
    <x v="233"/>
    <x v="1"/>
    <d v="2024-10-27T00:00:00"/>
    <x v="1"/>
    <n v="5"/>
    <x v="0"/>
    <s v="No"/>
    <x v="1"/>
    <s v="No"/>
    <n v="0"/>
    <n v="1"/>
    <n v="4"/>
  </r>
  <r>
    <n v="3476"/>
    <x v="234"/>
    <x v="0"/>
    <d v="2024-10-28T00:00:00"/>
    <x v="0"/>
    <n v="15"/>
    <x v="2"/>
    <s v="Yes"/>
    <x v="0"/>
    <s v="Yes"/>
    <n v="20"/>
    <n v="7"/>
    <n v="58"/>
  </r>
  <r>
    <n v="3477"/>
    <x v="235"/>
    <x v="2"/>
    <d v="2024-10-29T00:00:00"/>
    <x v="1"/>
    <n v="10"/>
    <x v="0"/>
    <s v="No"/>
    <x v="1"/>
    <s v="Yes"/>
    <n v="20"/>
    <n v="10"/>
    <n v="20"/>
  </r>
  <r>
    <n v="3478"/>
    <x v="236"/>
    <x v="1"/>
    <d v="2024-10-30T00:00:00"/>
    <x v="0"/>
    <n v="5"/>
    <x v="1"/>
    <s v="No"/>
    <x v="1"/>
    <s v="No"/>
    <n v="0"/>
    <n v="0"/>
    <n v="5"/>
  </r>
  <r>
    <n v="3479"/>
    <x v="237"/>
    <x v="0"/>
    <d v="2024-10-31T00:00:00"/>
    <x v="1"/>
    <n v="15"/>
    <x v="0"/>
    <s v="Yes"/>
    <x v="0"/>
    <s v="Yes"/>
    <n v="20"/>
    <n v="20"/>
    <n v="45"/>
  </r>
  <r>
    <n v="3480"/>
    <x v="238"/>
    <x v="2"/>
    <d v="2024-11-01T00:00:00"/>
    <x v="0"/>
    <n v="10"/>
    <x v="2"/>
    <s v="No"/>
    <x v="1"/>
    <s v="Yes"/>
    <n v="20"/>
    <n v="15"/>
    <n v="15"/>
  </r>
  <r>
    <n v="3481"/>
    <x v="239"/>
    <x v="1"/>
    <d v="2024-11-02T00:00:00"/>
    <x v="1"/>
    <n v="5"/>
    <x v="0"/>
    <s v="No"/>
    <x v="1"/>
    <s v="No"/>
    <n v="0"/>
    <n v="1"/>
    <n v="4"/>
  </r>
  <r>
    <n v="3482"/>
    <x v="240"/>
    <x v="0"/>
    <d v="2024-11-03T00:00:00"/>
    <x v="0"/>
    <n v="15"/>
    <x v="1"/>
    <s v="Yes"/>
    <x v="0"/>
    <s v="Yes"/>
    <n v="20"/>
    <n v="3"/>
    <n v="62"/>
  </r>
  <r>
    <n v="3483"/>
    <x v="241"/>
    <x v="2"/>
    <d v="2024-11-04T00:00:00"/>
    <x v="1"/>
    <n v="10"/>
    <x v="0"/>
    <s v="No"/>
    <x v="1"/>
    <s v="Yes"/>
    <n v="20"/>
    <n v="10"/>
    <n v="20"/>
  </r>
  <r>
    <n v="3484"/>
    <x v="242"/>
    <x v="1"/>
    <d v="2024-11-05T00:00:00"/>
    <x v="0"/>
    <n v="5"/>
    <x v="2"/>
    <s v="No"/>
    <x v="1"/>
    <s v="No"/>
    <n v="0"/>
    <n v="0"/>
    <n v="5"/>
  </r>
  <r>
    <n v="3485"/>
    <x v="243"/>
    <x v="0"/>
    <d v="2024-11-06T00:00:00"/>
    <x v="1"/>
    <n v="15"/>
    <x v="0"/>
    <s v="Yes"/>
    <x v="0"/>
    <s v="Yes"/>
    <n v="20"/>
    <n v="15"/>
    <n v="50"/>
  </r>
  <r>
    <n v="3486"/>
    <x v="244"/>
    <x v="1"/>
    <d v="2024-11-07T00:00:00"/>
    <x v="0"/>
    <n v="5"/>
    <x v="0"/>
    <s v="No"/>
    <x v="1"/>
    <s v="No"/>
    <n v="0"/>
    <n v="0"/>
    <n v="5"/>
  </r>
  <r>
    <n v="3487"/>
    <x v="245"/>
    <x v="0"/>
    <d v="2024-11-08T00:00:00"/>
    <x v="1"/>
    <n v="15"/>
    <x v="2"/>
    <s v="Yes"/>
    <x v="0"/>
    <s v="Yes"/>
    <n v="20"/>
    <n v="7"/>
    <n v="58"/>
  </r>
  <r>
    <n v="3488"/>
    <x v="246"/>
    <x v="2"/>
    <d v="2024-11-09T00:00:00"/>
    <x v="0"/>
    <n v="10"/>
    <x v="1"/>
    <s v="No"/>
    <x v="1"/>
    <s v="Yes"/>
    <n v="20"/>
    <n v="10"/>
    <n v="20"/>
  </r>
  <r>
    <n v="3489"/>
    <x v="247"/>
    <x v="1"/>
    <d v="2024-11-10T00:00:00"/>
    <x v="1"/>
    <n v="5"/>
    <x v="2"/>
    <s v="No"/>
    <x v="1"/>
    <s v="No"/>
    <n v="0"/>
    <n v="1"/>
    <n v="4"/>
  </r>
  <r>
    <n v="3490"/>
    <x v="248"/>
    <x v="0"/>
    <d v="2024-11-11T00:00:00"/>
    <x v="0"/>
    <n v="15"/>
    <x v="0"/>
    <s v="Yes"/>
    <x v="0"/>
    <s v="Yes"/>
    <n v="20"/>
    <n v="15"/>
    <n v="50"/>
  </r>
  <r>
    <n v="3491"/>
    <x v="249"/>
    <x v="2"/>
    <d v="2024-11-12T00:00:00"/>
    <x v="1"/>
    <n v="10"/>
    <x v="0"/>
    <s v="No"/>
    <x v="1"/>
    <s v="Yes"/>
    <n v="20"/>
    <n v="5"/>
    <n v="25"/>
  </r>
  <r>
    <n v="3492"/>
    <x v="250"/>
    <x v="1"/>
    <d v="2024-11-13T00:00:00"/>
    <x v="0"/>
    <n v="5"/>
    <x v="1"/>
    <s v="No"/>
    <x v="1"/>
    <s v="No"/>
    <n v="0"/>
    <n v="0"/>
    <n v="5"/>
  </r>
  <r>
    <n v="3493"/>
    <x v="251"/>
    <x v="0"/>
    <d v="2024-11-14T00:00:00"/>
    <x v="1"/>
    <n v="15"/>
    <x v="2"/>
    <s v="Yes"/>
    <x v="0"/>
    <s v="Yes"/>
    <n v="20"/>
    <n v="20"/>
    <n v="45"/>
  </r>
  <r>
    <n v="3494"/>
    <x v="252"/>
    <x v="2"/>
    <d v="2024-11-15T00:00:00"/>
    <x v="0"/>
    <n v="10"/>
    <x v="2"/>
    <s v="No"/>
    <x v="1"/>
    <s v="Yes"/>
    <n v="20"/>
    <n v="12"/>
    <n v="18"/>
  </r>
  <r>
    <n v="3495"/>
    <x v="253"/>
    <x v="1"/>
    <d v="2024-11-16T00:00:00"/>
    <x v="1"/>
    <n v="5"/>
    <x v="0"/>
    <s v="No"/>
    <x v="1"/>
    <s v="No"/>
    <n v="0"/>
    <n v="2"/>
    <n v="3"/>
  </r>
  <r>
    <n v="3496"/>
    <x v="254"/>
    <x v="0"/>
    <d v="2024-11-17T00:00:00"/>
    <x v="0"/>
    <n v="15"/>
    <x v="1"/>
    <s v="Yes"/>
    <x v="0"/>
    <s v="Yes"/>
    <n v="20"/>
    <n v="5"/>
    <n v="60"/>
  </r>
  <r>
    <n v="3497"/>
    <x v="255"/>
    <x v="2"/>
    <d v="2024-11-18T00:00:00"/>
    <x v="1"/>
    <n v="10"/>
    <x v="0"/>
    <s v="No"/>
    <x v="1"/>
    <s v="Yes"/>
    <n v="20"/>
    <n v="10"/>
    <n v="20"/>
  </r>
  <r>
    <n v="3498"/>
    <x v="256"/>
    <x v="1"/>
    <d v="2024-11-19T00:00:00"/>
    <x v="0"/>
    <n v="5"/>
    <x v="2"/>
    <s v="No"/>
    <x v="1"/>
    <s v="No"/>
    <n v="0"/>
    <n v="0"/>
    <n v="5"/>
  </r>
  <r>
    <n v="3499"/>
    <x v="257"/>
    <x v="0"/>
    <d v="2024-11-20T00:00:00"/>
    <x v="1"/>
    <n v="15"/>
    <x v="0"/>
    <s v="Yes"/>
    <x v="0"/>
    <s v="Yes"/>
    <n v="20"/>
    <n v="3"/>
    <n v="62"/>
  </r>
  <r>
    <n v="3500"/>
    <x v="258"/>
    <x v="2"/>
    <d v="2024-11-21T00:00:00"/>
    <x v="0"/>
    <n v="10"/>
    <x v="1"/>
    <s v="No"/>
    <x v="1"/>
    <s v="Yes"/>
    <n v="20"/>
    <n v="15"/>
    <n v="15"/>
  </r>
  <r>
    <n v="3501"/>
    <x v="259"/>
    <x v="1"/>
    <d v="2024-11-22T00:00:00"/>
    <x v="1"/>
    <n v="5"/>
    <x v="0"/>
    <s v="No"/>
    <x v="1"/>
    <s v="No"/>
    <n v="0"/>
    <n v="1"/>
    <n v="4"/>
  </r>
  <r>
    <n v="3502"/>
    <x v="260"/>
    <x v="0"/>
    <d v="2024-11-23T00:00:00"/>
    <x v="0"/>
    <n v="15"/>
    <x v="2"/>
    <s v="Yes"/>
    <x v="0"/>
    <s v="Yes"/>
    <n v="20"/>
    <n v="7"/>
    <n v="58"/>
  </r>
  <r>
    <n v="3503"/>
    <x v="119"/>
    <x v="2"/>
    <d v="2024-11-24T00:00:00"/>
    <x v="1"/>
    <n v="10"/>
    <x v="0"/>
    <s v="No"/>
    <x v="1"/>
    <s v="Yes"/>
    <n v="20"/>
    <n v="10"/>
    <n v="20"/>
  </r>
  <r>
    <n v="3504"/>
    <x v="261"/>
    <x v="1"/>
    <d v="2024-11-25T00:00:00"/>
    <x v="0"/>
    <n v="5"/>
    <x v="1"/>
    <s v="No"/>
    <x v="1"/>
    <s v="No"/>
    <n v="0"/>
    <n v="0"/>
    <n v="5"/>
  </r>
  <r>
    <n v="3505"/>
    <x v="262"/>
    <x v="0"/>
    <d v="2024-11-26T00:00:00"/>
    <x v="1"/>
    <n v="15"/>
    <x v="0"/>
    <s v="Yes"/>
    <x v="0"/>
    <s v="Yes"/>
    <n v="20"/>
    <n v="20"/>
    <n v="45"/>
  </r>
  <r>
    <n v="3506"/>
    <x v="263"/>
    <x v="2"/>
    <d v="2024-11-27T00:00:00"/>
    <x v="0"/>
    <n v="10"/>
    <x v="2"/>
    <s v="No"/>
    <x v="1"/>
    <s v="Yes"/>
    <n v="20"/>
    <n v="15"/>
    <n v="15"/>
  </r>
  <r>
    <n v="3507"/>
    <x v="264"/>
    <x v="1"/>
    <d v="2024-11-28T00:00:00"/>
    <x v="1"/>
    <n v="5"/>
    <x v="0"/>
    <s v="No"/>
    <x v="1"/>
    <s v="No"/>
    <n v="0"/>
    <n v="1"/>
    <n v="4"/>
  </r>
  <r>
    <n v="3508"/>
    <x v="265"/>
    <x v="0"/>
    <d v="2024-11-29T00:00:00"/>
    <x v="0"/>
    <n v="15"/>
    <x v="1"/>
    <s v="Yes"/>
    <x v="0"/>
    <s v="Yes"/>
    <n v="20"/>
    <n v="3"/>
    <n v="62"/>
  </r>
  <r>
    <n v="3509"/>
    <x v="266"/>
    <x v="2"/>
    <d v="2024-11-30T00:00:00"/>
    <x v="1"/>
    <n v="10"/>
    <x v="0"/>
    <s v="No"/>
    <x v="1"/>
    <s v="Yes"/>
    <n v="20"/>
    <n v="10"/>
    <n v="20"/>
  </r>
  <r>
    <n v="3510"/>
    <x v="267"/>
    <x v="1"/>
    <d v="2024-12-01T00:00:00"/>
    <x v="0"/>
    <n v="5"/>
    <x v="2"/>
    <s v="No"/>
    <x v="1"/>
    <s v="No"/>
    <n v="0"/>
    <n v="0"/>
    <n v="5"/>
  </r>
  <r>
    <n v="3511"/>
    <x v="268"/>
    <x v="0"/>
    <d v="2024-12-02T00:00:00"/>
    <x v="1"/>
    <n v="15"/>
    <x v="0"/>
    <s v="Yes"/>
    <x v="0"/>
    <s v="Yes"/>
    <n v="20"/>
    <n v="15"/>
    <n v="50"/>
  </r>
  <r>
    <n v="3512"/>
    <x v="269"/>
    <x v="2"/>
    <d v="2024-12-03T00:00:00"/>
    <x v="0"/>
    <n v="10"/>
    <x v="1"/>
    <s v="No"/>
    <x v="1"/>
    <s v="Yes"/>
    <n v="20"/>
    <n v="15"/>
    <n v="15"/>
  </r>
  <r>
    <n v="3513"/>
    <x v="270"/>
    <x v="1"/>
    <d v="2024-12-04T00:00:00"/>
    <x v="1"/>
    <n v="5"/>
    <x v="0"/>
    <s v="No"/>
    <x v="1"/>
    <s v="No"/>
    <n v="0"/>
    <n v="1"/>
    <n v="4"/>
  </r>
  <r>
    <n v="3514"/>
    <x v="271"/>
    <x v="0"/>
    <d v="2024-12-05T00:00:00"/>
    <x v="0"/>
    <n v="15"/>
    <x v="2"/>
    <s v="Yes"/>
    <x v="0"/>
    <s v="Yes"/>
    <n v="20"/>
    <n v="7"/>
    <n v="58"/>
  </r>
  <r>
    <n v="3515"/>
    <x v="130"/>
    <x v="2"/>
    <d v="2024-12-06T00:00:00"/>
    <x v="1"/>
    <n v="10"/>
    <x v="0"/>
    <s v="No"/>
    <x v="1"/>
    <s v="Yes"/>
    <n v="20"/>
    <n v="10"/>
    <n v="20"/>
  </r>
  <r>
    <n v="3516"/>
    <x v="131"/>
    <x v="1"/>
    <d v="2024-12-07T00:00:00"/>
    <x v="0"/>
    <n v="5"/>
    <x v="1"/>
    <s v="No"/>
    <x v="1"/>
    <s v="No"/>
    <n v="0"/>
    <n v="0"/>
    <n v="5"/>
  </r>
  <r>
    <n v="3517"/>
    <x v="181"/>
    <x v="0"/>
    <d v="2024-12-08T00:00:00"/>
    <x v="1"/>
    <n v="15"/>
    <x v="0"/>
    <s v="Yes"/>
    <x v="0"/>
    <s v="Yes"/>
    <n v="20"/>
    <n v="20"/>
    <n v="45"/>
  </r>
  <r>
    <n v="3518"/>
    <x v="272"/>
    <x v="2"/>
    <d v="2024-12-09T00:00:00"/>
    <x v="0"/>
    <n v="10"/>
    <x v="2"/>
    <s v="No"/>
    <x v="1"/>
    <s v="Yes"/>
    <n v="20"/>
    <n v="12"/>
    <n v="18"/>
  </r>
  <r>
    <n v="3519"/>
    <x v="273"/>
    <x v="1"/>
    <d v="2024-12-10T00:00:00"/>
    <x v="1"/>
    <n v="5"/>
    <x v="0"/>
    <s v="No"/>
    <x v="1"/>
    <s v="No"/>
    <n v="0"/>
    <n v="2"/>
    <n v="3"/>
  </r>
  <r>
    <n v="3520"/>
    <x v="274"/>
    <x v="0"/>
    <d v="2024-12-11T00:00:00"/>
    <x v="0"/>
    <n v="15"/>
    <x v="1"/>
    <s v="Yes"/>
    <x v="0"/>
    <s v="Yes"/>
    <n v="20"/>
    <n v="5"/>
    <n v="60"/>
  </r>
  <r>
    <n v="3521"/>
    <x v="275"/>
    <x v="2"/>
    <d v="2024-12-12T00:00:00"/>
    <x v="1"/>
    <n v="10"/>
    <x v="0"/>
    <s v="No"/>
    <x v="1"/>
    <s v="Yes"/>
    <n v="20"/>
    <n v="10"/>
    <n v="20"/>
  </r>
  <r>
    <n v="3522"/>
    <x v="276"/>
    <x v="1"/>
    <d v="2024-12-13T00:00:00"/>
    <x v="0"/>
    <n v="5"/>
    <x v="2"/>
    <s v="No"/>
    <x v="1"/>
    <s v="No"/>
    <n v="0"/>
    <n v="0"/>
    <n v="5"/>
  </r>
  <r>
    <n v="3523"/>
    <x v="277"/>
    <x v="0"/>
    <d v="2024-12-14T00:00:00"/>
    <x v="1"/>
    <n v="15"/>
    <x v="0"/>
    <s v="Yes"/>
    <x v="0"/>
    <s v="Yes"/>
    <n v="20"/>
    <n v="3"/>
    <n v="62"/>
  </r>
  <r>
    <n v="3524"/>
    <x v="278"/>
    <x v="2"/>
    <d v="2024-12-15T00:00:00"/>
    <x v="0"/>
    <n v="10"/>
    <x v="1"/>
    <s v="No"/>
    <x v="1"/>
    <s v="Yes"/>
    <n v="20"/>
    <n v="15"/>
    <n v="15"/>
  </r>
  <r>
    <n v="3525"/>
    <x v="279"/>
    <x v="1"/>
    <d v="2024-12-16T00:00:00"/>
    <x v="1"/>
    <n v="5"/>
    <x v="0"/>
    <s v="No"/>
    <x v="1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CBF302-9C3C-4188-92DE-916A984FFB2A}" name="Tabela dinâmica4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29:C33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dataField="1"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0" hier="-1"/>
  </pageFields>
  <dataFields count="1">
    <dataField name="Soma de Minecraft Season Pass Price" fld="10" baseField="0" baseItem="0"/>
  </dataFields>
  <formats count="2">
    <format dxfId="19">
      <pivotArea collapsedLevelsAreSubtotals="1" fieldPosition="0">
        <references count="1">
          <reference field="2" count="2">
            <x v="1"/>
            <x v="2"/>
          </reference>
        </references>
      </pivotArea>
    </format>
    <format dxfId="18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43FF98-730A-4CBC-8AC7-13A93BC18D8E}" name="tbl_easeasonpass_total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18:C22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dataField="1" showAll="0">
      <items count="3">
        <item x="0"/>
        <item x="1"/>
        <item t="default"/>
      </items>
    </pivotField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0" hier="-1"/>
  </pageFields>
  <dataFields count="1">
    <dataField name="Soma de EA Play Season Pass" fld="8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088948-EEBD-4D3F-88DE-41531C5799DC}" name="tbl_annual_total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B8:C11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showAll="0"/>
    <pivotField numFmtId="14" showAll="0"/>
    <pivotField axis="axisRow" showAll="0">
      <items count="3">
        <item x="1"/>
        <item x="0"/>
        <item t="default"/>
      </items>
    </pivotField>
    <pivotField numFmtId="44" showAll="0"/>
    <pivotField axis="axisPage" multipleItemSelectionAllowed="1"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hier="-1"/>
  </pageFields>
  <dataFields count="1">
    <dataField name="Soma de Total Value" fld="12" baseField="0" baseItem="0"/>
  </dataFields>
  <formats count="4">
    <format dxfId="23">
      <pivotArea dataOnly="0" labelOnly="1" outline="0" axis="axisValues" fieldPosition="0"/>
    </format>
    <format dxfId="22">
      <pivotArea collapsedLevelsAreSubtotals="1" fieldPosition="0">
        <references count="1">
          <reference field="4" count="1">
            <x v="0"/>
          </reference>
        </references>
      </pivotArea>
    </format>
    <format dxfId="21">
      <pivotArea collapsedLevelsAreSubtotals="1" fieldPosition="0">
        <references count="1">
          <reference field="4" count="1">
            <x v="1"/>
          </reference>
        </references>
      </pivotArea>
    </format>
    <format dxfId="20">
      <pivotArea grandRow="1" outline="0" collapsedLevelsAreSubtotals="1" fieldPosition="0"/>
    </format>
  </format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76697A31-676F-4062-B86B-CFB61CBC8BE2}" sourceName="Subscription Type">
  <pivotTables>
    <pivotTable tabId="3" name="tbl_annual_total"/>
    <pivotTable tabId="3" name="tbl_easeasonpass_total"/>
    <pivotTable tabId="3" name="Tabela dinâmica4"/>
  </pivotTables>
  <data>
    <tabular pivotCacheId="167727403">
      <items count="3">
        <i x="1" s="1"/>
        <i x="0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21C6FEB1-2B6F-42AA-81C2-36E6F497C45A}" cache="SegmentaçãodeDados_Subscription_Type" caption="Subscription Type" style="SlicerStyleLight6 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39">
  <autoFilter ref="A1:M296" xr:uid="{34E0E886-4200-4B36-97B3-63DB74FF40A0}">
    <filterColumn colId="7">
      <filters>
        <filter val="Yes"/>
      </filters>
    </filterColumn>
  </autoFilter>
  <tableColumns count="13">
    <tableColumn id="1" xr3:uid="{C4A90516-688A-46BF-9167-EA16C2A8A652}" name="Subscriber ID" dataDxfId="38"/>
    <tableColumn id="2" xr3:uid="{53DD39D0-2220-4121-9E9D-4EAA7E151C0F}" name="Name" dataDxfId="37"/>
    <tableColumn id="3" xr3:uid="{4F5FF271-4C57-4BE0-8F2C-F82C8551625C}" name="Plan" dataDxfId="36"/>
    <tableColumn id="4" xr3:uid="{8C17EB93-79B9-4E55-B8F7-BEB82F8253E9}" name="Start Date" dataDxfId="35"/>
    <tableColumn id="5" xr3:uid="{48CEDF9B-1689-482A-A828-5CCE7713264A}" name="Auto Renewal" dataDxfId="34"/>
    <tableColumn id="6" xr3:uid="{78B82374-9AA7-4E38-AE4F-78CDE6C83720}" name="Subscription Price" dataDxfId="33" dataCellStyle="Moeda"/>
    <tableColumn id="7" xr3:uid="{F2433F68-AF33-49D0-B1FB-19A396074EDE}" name="Subscription Type" dataDxfId="32"/>
    <tableColumn id="8" xr3:uid="{FD4D9C95-F6E5-4933-9068-A71FF7DF9343}" name="EA Play Season Pass" dataDxfId="31"/>
    <tableColumn id="13" xr3:uid="{978DD0D2-834E-4CE4-A39B-30976086932F}" name="EA Play Season Pass_x000a_Price" dataDxfId="30" dataCellStyle="Moeda"/>
    <tableColumn id="9" xr3:uid="{6E29F111-C395-4580-9DAD-3407D9E8B1A4}" name="Minecraft Season Pass" dataDxfId="29"/>
    <tableColumn id="10" xr3:uid="{EF544EAA-7F25-4FD5-A10E-8E62804DB9E3}" name="Minecraft Season Pass Price" dataDxfId="28" dataCellStyle="Moeda"/>
    <tableColumn id="11" xr3:uid="{7F6EB64A-1F07-4E48-9F0F-AC7D9DCD26F8}" name="Coupon Value" dataDxfId="27" dataCellStyle="Moeda"/>
    <tableColumn id="12" xr3:uid="{2B04ABC8-DE6F-426E-ADC0-D8AFC68CA58E}" name="Total Value" dataDxfId="26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topLeftCell="A9" zoomScaleNormal="100" workbookViewId="0">
      <selection activeCell="K21" sqref="K21"/>
    </sheetView>
  </sheetViews>
  <sheetFormatPr defaultRowHeight="15" x14ac:dyDescent="0.25"/>
  <cols>
    <col min="9" max="9" width="3.5703125" customWidth="1"/>
  </cols>
  <sheetData>
    <row r="3" spans="2:16" ht="20.25" thickBot="1" x14ac:dyDescent="0.35">
      <c r="B3" s="1" t="s">
        <v>0</v>
      </c>
      <c r="C3" s="1"/>
      <c r="D3" s="1"/>
      <c r="E3" s="1"/>
      <c r="F3" s="1"/>
      <c r="G3" s="1"/>
      <c r="H3" s="1"/>
    </row>
    <row r="4" spans="2:16" ht="15.75" thickTop="1" x14ac:dyDescent="0.25"/>
    <row r="5" spans="2:16" x14ac:dyDescent="0.25">
      <c r="B5" s="3" t="s">
        <v>2</v>
      </c>
      <c r="C5" t="s">
        <v>8</v>
      </c>
      <c r="E5" s="7" t="s">
        <v>6</v>
      </c>
      <c r="F5" t="s">
        <v>7</v>
      </c>
    </row>
    <row r="6" spans="2:16" x14ac:dyDescent="0.25">
      <c r="B6" s="4" t="s">
        <v>3</v>
      </c>
      <c r="C6" t="s">
        <v>8</v>
      </c>
    </row>
    <row r="7" spans="2:16" x14ac:dyDescent="0.25">
      <c r="B7" s="5" t="s">
        <v>4</v>
      </c>
      <c r="C7" t="s">
        <v>9</v>
      </c>
    </row>
    <row r="8" spans="2:16" x14ac:dyDescent="0.25">
      <c r="B8" s="6" t="s">
        <v>5</v>
      </c>
      <c r="C8" t="s">
        <v>9</v>
      </c>
    </row>
    <row r="12" spans="2:16" ht="20.25" thickBot="1" x14ac:dyDescent="0.35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.75" thickTop="1" x14ac:dyDescent="0.25">
      <c r="B13" s="2"/>
      <c r="C13" s="2"/>
      <c r="D13" s="2"/>
      <c r="E13" s="2"/>
      <c r="F13" s="2"/>
      <c r="G13" s="2"/>
      <c r="H13" s="2"/>
    </row>
    <row r="14" spans="2:16" x14ac:dyDescent="0.25">
      <c r="B14" s="2"/>
      <c r="C14" s="2"/>
      <c r="D14" s="2"/>
      <c r="E14" s="2"/>
      <c r="F14" s="2"/>
      <c r="G14" s="2"/>
      <c r="H14" s="2"/>
    </row>
    <row r="15" spans="2:16" x14ac:dyDescent="0.25">
      <c r="B15" s="2"/>
      <c r="C15" s="2"/>
      <c r="D15" s="2"/>
      <c r="E15" s="2"/>
      <c r="F15" s="2"/>
      <c r="G15" s="2"/>
      <c r="H15" s="2"/>
    </row>
    <row r="16" spans="2:16" x14ac:dyDescent="0.25">
      <c r="B16" s="2"/>
      <c r="C16" s="2"/>
      <c r="D16" s="2"/>
      <c r="E16" s="2"/>
      <c r="F16" s="2"/>
      <c r="G16" s="2"/>
      <c r="H16" s="2"/>
    </row>
    <row r="17" spans="2:8" x14ac:dyDescent="0.25">
      <c r="B17" s="2"/>
      <c r="C17" s="2"/>
      <c r="D17" s="2"/>
      <c r="E17" s="2"/>
      <c r="F17" s="2"/>
      <c r="G17" s="2"/>
      <c r="H17" s="2"/>
    </row>
    <row r="18" spans="2:8" x14ac:dyDescent="0.25">
      <c r="B18" s="2"/>
      <c r="C18" s="2"/>
      <c r="D18" s="2"/>
      <c r="E18" s="2"/>
      <c r="F18" s="2"/>
      <c r="G18" s="2"/>
      <c r="H18" s="2"/>
    </row>
    <row r="19" spans="2:8" x14ac:dyDescent="0.25">
      <c r="B19" s="2"/>
      <c r="C19" s="2"/>
      <c r="D19" s="2"/>
      <c r="E19" s="2"/>
      <c r="F19" s="2"/>
      <c r="G19" s="2"/>
      <c r="H19" s="2"/>
    </row>
    <row r="20" spans="2:8" x14ac:dyDescent="0.25">
      <c r="B20" s="2"/>
      <c r="C20" s="2"/>
      <c r="D20" s="2"/>
      <c r="E20" s="2"/>
      <c r="F20" s="2"/>
      <c r="G20" s="2"/>
      <c r="H20" s="2"/>
    </row>
    <row r="21" spans="2:8" x14ac:dyDescent="0.25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6"/>
  <sheetViews>
    <sheetView zoomScale="90" zoomScaleNormal="90" workbookViewId="0">
      <selection activeCell="K21" sqref="K21"/>
    </sheetView>
  </sheetViews>
  <sheetFormatPr defaultRowHeight="15" x14ac:dyDescent="0.25"/>
  <cols>
    <col min="1" max="1" width="17.85546875" bestFit="1" customWidth="1"/>
    <col min="2" max="2" width="18.85546875" bestFit="1" customWidth="1"/>
    <col min="3" max="3" width="9.42578125" bestFit="1" customWidth="1"/>
    <col min="4" max="4" width="14.5703125" bestFit="1" customWidth="1"/>
    <col min="5" max="5" width="18" bestFit="1" customWidth="1"/>
    <col min="6" max="6" width="14.7109375" bestFit="1" customWidth="1"/>
    <col min="7" max="7" width="22" bestFit="1" customWidth="1"/>
    <col min="8" max="8" width="20.5703125" bestFit="1" customWidth="1"/>
    <col min="9" max="9" width="20.5703125" customWidth="1"/>
    <col min="10" max="10" width="16.7109375" bestFit="1" customWidth="1"/>
    <col min="11" max="11" width="21.28515625" bestFit="1" customWidth="1"/>
    <col min="12" max="12" width="12.7109375" bestFit="1" customWidth="1"/>
    <col min="13" max="13" width="10.5703125" bestFit="1" customWidth="1"/>
  </cols>
  <sheetData>
    <row r="1" spans="1:13" ht="30" x14ac:dyDescent="0.25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 x14ac:dyDescent="0.25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hidden="1" customHeight="1" x14ac:dyDescent="0.25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hidden="1" customHeight="1" x14ac:dyDescent="0.25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 x14ac:dyDescent="0.25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hidden="1" customHeight="1" x14ac:dyDescent="0.25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hidden="1" customHeight="1" x14ac:dyDescent="0.25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 x14ac:dyDescent="0.25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hidden="1" customHeight="1" x14ac:dyDescent="0.25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 x14ac:dyDescent="0.25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hidden="1" customHeight="1" x14ac:dyDescent="0.25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hidden="1" customHeight="1" x14ac:dyDescent="0.25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 x14ac:dyDescent="0.25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hidden="1" customHeight="1" x14ac:dyDescent="0.25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hidden="1" customHeight="1" x14ac:dyDescent="0.25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 x14ac:dyDescent="0.25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hidden="1" customHeight="1" x14ac:dyDescent="0.25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hidden="1" customHeight="1" x14ac:dyDescent="0.25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 x14ac:dyDescent="0.25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hidden="1" customHeight="1" x14ac:dyDescent="0.25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hidden="1" customHeight="1" x14ac:dyDescent="0.25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 x14ac:dyDescent="0.25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hidden="1" customHeight="1" x14ac:dyDescent="0.25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hidden="1" customHeight="1" x14ac:dyDescent="0.25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 x14ac:dyDescent="0.25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hidden="1" customHeight="1" x14ac:dyDescent="0.25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hidden="1" customHeight="1" x14ac:dyDescent="0.25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 x14ac:dyDescent="0.25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hidden="1" customHeight="1" x14ac:dyDescent="0.25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hidden="1" customHeight="1" x14ac:dyDescent="0.25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 x14ac:dyDescent="0.25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hidden="1" customHeight="1" x14ac:dyDescent="0.25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hidden="1" customHeight="1" x14ac:dyDescent="0.25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 x14ac:dyDescent="0.25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hidden="1" customHeight="1" x14ac:dyDescent="0.25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hidden="1" customHeight="1" x14ac:dyDescent="0.25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hidden="1" customHeight="1" x14ac:dyDescent="0.25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 x14ac:dyDescent="0.25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hidden="1" customHeight="1" x14ac:dyDescent="0.25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hidden="1" customHeight="1" x14ac:dyDescent="0.25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 x14ac:dyDescent="0.25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hidden="1" customHeight="1" x14ac:dyDescent="0.25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hidden="1" customHeight="1" x14ac:dyDescent="0.25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 x14ac:dyDescent="0.25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hidden="1" customHeight="1" x14ac:dyDescent="0.25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hidden="1" customHeight="1" x14ac:dyDescent="0.25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 x14ac:dyDescent="0.25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hidden="1" customHeight="1" x14ac:dyDescent="0.25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hidden="1" customHeight="1" x14ac:dyDescent="0.25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 x14ac:dyDescent="0.25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hidden="1" customHeight="1" x14ac:dyDescent="0.25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hidden="1" customHeight="1" x14ac:dyDescent="0.25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 x14ac:dyDescent="0.25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hidden="1" customHeight="1" x14ac:dyDescent="0.25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hidden="1" customHeight="1" x14ac:dyDescent="0.25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 x14ac:dyDescent="0.25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hidden="1" customHeight="1" x14ac:dyDescent="0.25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hidden="1" customHeight="1" x14ac:dyDescent="0.25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 x14ac:dyDescent="0.25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hidden="1" customHeight="1" x14ac:dyDescent="0.25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hidden="1" customHeight="1" x14ac:dyDescent="0.25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 x14ac:dyDescent="0.25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hidden="1" customHeight="1" x14ac:dyDescent="0.25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hidden="1" customHeight="1" x14ac:dyDescent="0.25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 x14ac:dyDescent="0.25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hidden="1" customHeight="1" x14ac:dyDescent="0.25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hidden="1" customHeight="1" x14ac:dyDescent="0.25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 x14ac:dyDescent="0.25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hidden="1" customHeight="1" x14ac:dyDescent="0.25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hidden="1" customHeight="1" x14ac:dyDescent="0.25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 x14ac:dyDescent="0.25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hidden="1" customHeight="1" x14ac:dyDescent="0.25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hidden="1" customHeight="1" x14ac:dyDescent="0.25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 x14ac:dyDescent="0.25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hidden="1" customHeight="1" x14ac:dyDescent="0.25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hidden="1" customHeight="1" x14ac:dyDescent="0.25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 x14ac:dyDescent="0.25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hidden="1" customHeight="1" x14ac:dyDescent="0.25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hidden="1" customHeight="1" x14ac:dyDescent="0.25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 x14ac:dyDescent="0.25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hidden="1" customHeight="1" x14ac:dyDescent="0.25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hidden="1" customHeight="1" x14ac:dyDescent="0.25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 x14ac:dyDescent="0.25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hidden="1" customHeight="1" x14ac:dyDescent="0.25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hidden="1" customHeight="1" x14ac:dyDescent="0.25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 x14ac:dyDescent="0.25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hidden="1" customHeight="1" x14ac:dyDescent="0.25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hidden="1" customHeight="1" x14ac:dyDescent="0.25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 x14ac:dyDescent="0.25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hidden="1" customHeight="1" x14ac:dyDescent="0.25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hidden="1" customHeight="1" x14ac:dyDescent="0.25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 x14ac:dyDescent="0.25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hidden="1" customHeight="1" x14ac:dyDescent="0.25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hidden="1" customHeight="1" x14ac:dyDescent="0.25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 x14ac:dyDescent="0.25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hidden="1" customHeight="1" x14ac:dyDescent="0.25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hidden="1" customHeight="1" x14ac:dyDescent="0.25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 x14ac:dyDescent="0.25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hidden="1" customHeight="1" x14ac:dyDescent="0.25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hidden="1" customHeight="1" x14ac:dyDescent="0.25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 x14ac:dyDescent="0.25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hidden="1" customHeight="1" x14ac:dyDescent="0.25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hidden="1" customHeight="1" x14ac:dyDescent="0.25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 x14ac:dyDescent="0.25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hidden="1" customHeight="1" x14ac:dyDescent="0.25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hidden="1" customHeight="1" x14ac:dyDescent="0.25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hidden="1" customHeight="1" x14ac:dyDescent="0.25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 x14ac:dyDescent="0.25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hidden="1" customHeight="1" x14ac:dyDescent="0.25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hidden="1" customHeight="1" x14ac:dyDescent="0.25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 x14ac:dyDescent="0.25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hidden="1" customHeight="1" x14ac:dyDescent="0.25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hidden="1" customHeight="1" x14ac:dyDescent="0.25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 x14ac:dyDescent="0.25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hidden="1" customHeight="1" x14ac:dyDescent="0.25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hidden="1" customHeight="1" x14ac:dyDescent="0.25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 x14ac:dyDescent="0.25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hidden="1" customHeight="1" x14ac:dyDescent="0.25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hidden="1" customHeight="1" x14ac:dyDescent="0.25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 x14ac:dyDescent="0.25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hidden="1" customHeight="1" x14ac:dyDescent="0.25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hidden="1" customHeight="1" x14ac:dyDescent="0.25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 x14ac:dyDescent="0.25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hidden="1" customHeight="1" x14ac:dyDescent="0.25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hidden="1" customHeight="1" x14ac:dyDescent="0.25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 x14ac:dyDescent="0.25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hidden="1" customHeight="1" x14ac:dyDescent="0.25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hidden="1" customHeight="1" x14ac:dyDescent="0.25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 x14ac:dyDescent="0.25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hidden="1" customHeight="1" x14ac:dyDescent="0.25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hidden="1" customHeight="1" x14ac:dyDescent="0.25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 x14ac:dyDescent="0.25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hidden="1" customHeight="1" x14ac:dyDescent="0.25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hidden="1" customHeight="1" x14ac:dyDescent="0.25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 x14ac:dyDescent="0.25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hidden="1" customHeight="1" x14ac:dyDescent="0.25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hidden="1" customHeight="1" x14ac:dyDescent="0.25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 x14ac:dyDescent="0.25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hidden="1" customHeight="1" x14ac:dyDescent="0.25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hidden="1" customHeight="1" x14ac:dyDescent="0.25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 x14ac:dyDescent="0.25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hidden="1" customHeight="1" x14ac:dyDescent="0.25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hidden="1" customHeight="1" x14ac:dyDescent="0.25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 x14ac:dyDescent="0.25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hidden="1" customHeight="1" x14ac:dyDescent="0.25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hidden="1" customHeight="1" x14ac:dyDescent="0.25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 x14ac:dyDescent="0.25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hidden="1" customHeight="1" x14ac:dyDescent="0.25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hidden="1" customHeight="1" x14ac:dyDescent="0.25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 x14ac:dyDescent="0.25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hidden="1" customHeight="1" x14ac:dyDescent="0.25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hidden="1" customHeight="1" x14ac:dyDescent="0.25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 x14ac:dyDescent="0.25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hidden="1" customHeight="1" x14ac:dyDescent="0.25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hidden="1" customHeight="1" x14ac:dyDescent="0.25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 x14ac:dyDescent="0.25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hidden="1" customHeight="1" x14ac:dyDescent="0.25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hidden="1" customHeight="1" x14ac:dyDescent="0.25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 x14ac:dyDescent="0.25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hidden="1" customHeight="1" x14ac:dyDescent="0.25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hidden="1" customHeight="1" x14ac:dyDescent="0.25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 x14ac:dyDescent="0.25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hidden="1" customHeight="1" x14ac:dyDescent="0.25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hidden="1" customHeight="1" x14ac:dyDescent="0.25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 x14ac:dyDescent="0.25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hidden="1" customHeight="1" x14ac:dyDescent="0.25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hidden="1" customHeight="1" x14ac:dyDescent="0.25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 x14ac:dyDescent="0.25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hidden="1" customHeight="1" x14ac:dyDescent="0.25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hidden="1" customHeight="1" x14ac:dyDescent="0.25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 x14ac:dyDescent="0.25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hidden="1" customHeight="1" x14ac:dyDescent="0.25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hidden="1" customHeight="1" x14ac:dyDescent="0.25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 x14ac:dyDescent="0.25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hidden="1" customHeight="1" x14ac:dyDescent="0.25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hidden="1" customHeight="1" x14ac:dyDescent="0.25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hidden="1" customHeight="1" x14ac:dyDescent="0.25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 x14ac:dyDescent="0.25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hidden="1" customHeight="1" x14ac:dyDescent="0.25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hidden="1" customHeight="1" x14ac:dyDescent="0.25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 x14ac:dyDescent="0.25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hidden="1" customHeight="1" x14ac:dyDescent="0.25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hidden="1" customHeight="1" x14ac:dyDescent="0.25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 x14ac:dyDescent="0.25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hidden="1" customHeight="1" x14ac:dyDescent="0.25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hidden="1" customHeight="1" x14ac:dyDescent="0.25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 x14ac:dyDescent="0.25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hidden="1" customHeight="1" x14ac:dyDescent="0.25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hidden="1" customHeight="1" x14ac:dyDescent="0.25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 x14ac:dyDescent="0.25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hidden="1" customHeight="1" x14ac:dyDescent="0.25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hidden="1" customHeight="1" x14ac:dyDescent="0.25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 x14ac:dyDescent="0.25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hidden="1" customHeight="1" x14ac:dyDescent="0.25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hidden="1" customHeight="1" x14ac:dyDescent="0.25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 x14ac:dyDescent="0.25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hidden="1" customHeight="1" x14ac:dyDescent="0.25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hidden="1" customHeight="1" x14ac:dyDescent="0.25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 x14ac:dyDescent="0.25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hidden="1" customHeight="1" x14ac:dyDescent="0.25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hidden="1" customHeight="1" x14ac:dyDescent="0.25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 x14ac:dyDescent="0.25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hidden="1" customHeight="1" x14ac:dyDescent="0.25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hidden="1" customHeight="1" x14ac:dyDescent="0.25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 x14ac:dyDescent="0.25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hidden="1" customHeight="1" x14ac:dyDescent="0.25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hidden="1" customHeight="1" x14ac:dyDescent="0.25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 x14ac:dyDescent="0.25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hidden="1" customHeight="1" x14ac:dyDescent="0.25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hidden="1" customHeight="1" x14ac:dyDescent="0.25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 x14ac:dyDescent="0.25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hidden="1" customHeight="1" x14ac:dyDescent="0.25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hidden="1" customHeight="1" x14ac:dyDescent="0.25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 x14ac:dyDescent="0.25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hidden="1" customHeight="1" x14ac:dyDescent="0.25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hidden="1" customHeight="1" x14ac:dyDescent="0.25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 x14ac:dyDescent="0.25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hidden="1" customHeight="1" x14ac:dyDescent="0.25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hidden="1" customHeight="1" x14ac:dyDescent="0.25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 x14ac:dyDescent="0.25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hidden="1" customHeight="1" x14ac:dyDescent="0.25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hidden="1" customHeight="1" x14ac:dyDescent="0.25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 x14ac:dyDescent="0.25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hidden="1" customHeight="1" x14ac:dyDescent="0.25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hidden="1" customHeight="1" x14ac:dyDescent="0.25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 x14ac:dyDescent="0.25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hidden="1" customHeight="1" x14ac:dyDescent="0.25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hidden="1" customHeight="1" x14ac:dyDescent="0.25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 x14ac:dyDescent="0.25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hidden="1" customHeight="1" x14ac:dyDescent="0.25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hidden="1" customHeight="1" x14ac:dyDescent="0.25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 x14ac:dyDescent="0.25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hidden="1" customHeight="1" x14ac:dyDescent="0.25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hidden="1" customHeight="1" x14ac:dyDescent="0.25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 x14ac:dyDescent="0.25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hidden="1" customHeight="1" x14ac:dyDescent="0.25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hidden="1" customHeight="1" x14ac:dyDescent="0.25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 x14ac:dyDescent="0.25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hidden="1" customHeight="1" x14ac:dyDescent="0.25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hidden="1" customHeight="1" x14ac:dyDescent="0.25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 x14ac:dyDescent="0.25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hidden="1" customHeight="1" x14ac:dyDescent="0.25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hidden="1" customHeight="1" x14ac:dyDescent="0.25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 x14ac:dyDescent="0.25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hidden="1" customHeight="1" x14ac:dyDescent="0.25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hidden="1" customHeight="1" x14ac:dyDescent="0.25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 x14ac:dyDescent="0.25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hidden="1" customHeight="1" x14ac:dyDescent="0.25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hidden="1" customHeight="1" x14ac:dyDescent="0.25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 x14ac:dyDescent="0.25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hidden="1" customHeight="1" x14ac:dyDescent="0.25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hidden="1" customHeight="1" x14ac:dyDescent="0.25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 x14ac:dyDescent="0.25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hidden="1" customHeight="1" x14ac:dyDescent="0.25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hidden="1" customHeight="1" x14ac:dyDescent="0.25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 x14ac:dyDescent="0.25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hidden="1" customHeight="1" x14ac:dyDescent="0.25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 x14ac:dyDescent="0.25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hidden="1" customHeight="1" x14ac:dyDescent="0.25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hidden="1" customHeight="1" x14ac:dyDescent="0.25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 x14ac:dyDescent="0.25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hidden="1" customHeight="1" x14ac:dyDescent="0.25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hidden="1" customHeight="1" x14ac:dyDescent="0.25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 x14ac:dyDescent="0.25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hidden="1" customHeight="1" x14ac:dyDescent="0.25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hidden="1" customHeight="1" x14ac:dyDescent="0.25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 x14ac:dyDescent="0.25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hidden="1" customHeight="1" x14ac:dyDescent="0.25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hidden="1" customHeight="1" x14ac:dyDescent="0.25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 x14ac:dyDescent="0.25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hidden="1" customHeight="1" x14ac:dyDescent="0.25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hidden="1" customHeight="1" x14ac:dyDescent="0.25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 x14ac:dyDescent="0.25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hidden="1" customHeight="1" x14ac:dyDescent="0.25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hidden="1" customHeight="1" x14ac:dyDescent="0.25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 x14ac:dyDescent="0.25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hidden="1" customHeight="1" x14ac:dyDescent="0.25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hidden="1" customHeight="1" x14ac:dyDescent="0.25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 x14ac:dyDescent="0.25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hidden="1" customHeight="1" x14ac:dyDescent="0.25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hidden="1" customHeight="1" x14ac:dyDescent="0.25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 x14ac:dyDescent="0.25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hidden="1" customHeight="1" x14ac:dyDescent="0.25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hidden="1" customHeight="1" x14ac:dyDescent="0.25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 x14ac:dyDescent="0.25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hidden="1" customHeight="1" x14ac:dyDescent="0.25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hidden="1" customHeight="1" x14ac:dyDescent="0.25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 x14ac:dyDescent="0.25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hidden="1" customHeight="1" x14ac:dyDescent="0.25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hidden="1" customHeight="1" x14ac:dyDescent="0.25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 x14ac:dyDescent="0.25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hidden="1" customHeight="1" x14ac:dyDescent="0.25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hidden="1" customHeight="1" x14ac:dyDescent="0.25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 x14ac:dyDescent="0.25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hidden="1" customHeight="1" x14ac:dyDescent="0.25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hidden="1" customHeight="1" x14ac:dyDescent="0.25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B6:E33"/>
  <sheetViews>
    <sheetView showGridLines="0" topLeftCell="A19" workbookViewId="0">
      <selection activeCell="K21" sqref="K21"/>
    </sheetView>
  </sheetViews>
  <sheetFormatPr defaultRowHeight="15" x14ac:dyDescent="0.25"/>
  <cols>
    <col min="2" max="2" width="18.42578125" bestFit="1" customWidth="1"/>
    <col min="3" max="3" width="35.140625" bestFit="1" customWidth="1"/>
    <col min="4" max="4" width="30.5703125" bestFit="1" customWidth="1"/>
    <col min="5" max="5" width="10.85546875" bestFit="1" customWidth="1"/>
    <col min="6" max="6" width="19.140625" bestFit="1" customWidth="1"/>
    <col min="7" max="7" width="27.7109375" bestFit="1" customWidth="1"/>
    <col min="8" max="8" width="5.42578125" customWidth="1"/>
    <col min="9" max="9" width="21.140625" bestFit="1" customWidth="1"/>
    <col min="10" max="11" width="35.140625" bestFit="1" customWidth="1"/>
    <col min="12" max="15" width="9.7109375" bestFit="1" customWidth="1"/>
    <col min="16" max="16" width="15.5703125" bestFit="1" customWidth="1"/>
    <col min="17" max="17" width="12.140625" bestFit="1" customWidth="1"/>
  </cols>
  <sheetData>
    <row r="6" spans="2:3" x14ac:dyDescent="0.25">
      <c r="B6" s="12" t="s">
        <v>16</v>
      </c>
      <c r="C6" t="s">
        <v>24</v>
      </c>
    </row>
    <row r="8" spans="2:3" x14ac:dyDescent="0.25">
      <c r="B8" s="12" t="s">
        <v>313</v>
      </c>
      <c r="C8" s="14" t="s">
        <v>315</v>
      </c>
    </row>
    <row r="9" spans="2:3" x14ac:dyDescent="0.25">
      <c r="B9" s="13" t="s">
        <v>23</v>
      </c>
      <c r="C9" s="16">
        <v>217</v>
      </c>
    </row>
    <row r="10" spans="2:3" x14ac:dyDescent="0.25">
      <c r="B10" s="13" t="s">
        <v>19</v>
      </c>
      <c r="C10" s="16">
        <v>1537</v>
      </c>
    </row>
    <row r="11" spans="2:3" x14ac:dyDescent="0.25">
      <c r="B11" s="13" t="s">
        <v>314</v>
      </c>
      <c r="C11" s="16">
        <v>1754</v>
      </c>
    </row>
    <row r="16" spans="2:3" x14ac:dyDescent="0.25">
      <c r="B16" s="12" t="s">
        <v>16</v>
      </c>
      <c r="C16" t="s">
        <v>24</v>
      </c>
    </row>
    <row r="18" spans="2:5" x14ac:dyDescent="0.25">
      <c r="B18" s="12" t="s">
        <v>313</v>
      </c>
      <c r="C18" t="s">
        <v>317</v>
      </c>
    </row>
    <row r="19" spans="2:5" x14ac:dyDescent="0.25">
      <c r="B19" s="13" t="s">
        <v>22</v>
      </c>
      <c r="C19" s="14">
        <v>0</v>
      </c>
    </row>
    <row r="20" spans="2:5" x14ac:dyDescent="0.25">
      <c r="B20" s="13" t="s">
        <v>26</v>
      </c>
      <c r="C20" s="14">
        <v>0</v>
      </c>
    </row>
    <row r="21" spans="2:5" x14ac:dyDescent="0.25">
      <c r="B21" s="13" t="s">
        <v>18</v>
      </c>
      <c r="C21" s="14">
        <v>600</v>
      </c>
    </row>
    <row r="22" spans="2:5" x14ac:dyDescent="0.25">
      <c r="B22" s="13" t="s">
        <v>314</v>
      </c>
      <c r="C22" s="14">
        <v>600</v>
      </c>
      <c r="E22" s="16">
        <f>GETPIVOTDATA("EA Play Season Pass
Price",$B$18)</f>
        <v>600</v>
      </c>
    </row>
    <row r="27" spans="2:5" x14ac:dyDescent="0.25">
      <c r="B27" s="12" t="s">
        <v>16</v>
      </c>
      <c r="C27" t="s">
        <v>24</v>
      </c>
    </row>
    <row r="29" spans="2:5" x14ac:dyDescent="0.25">
      <c r="B29" s="12" t="s">
        <v>313</v>
      </c>
      <c r="C29" t="s">
        <v>318</v>
      </c>
    </row>
    <row r="30" spans="2:5" x14ac:dyDescent="0.25">
      <c r="B30" s="13" t="s">
        <v>22</v>
      </c>
      <c r="C30" s="14">
        <v>0</v>
      </c>
    </row>
    <row r="31" spans="2:5" x14ac:dyDescent="0.25">
      <c r="B31" s="13" t="s">
        <v>26</v>
      </c>
      <c r="C31" s="16">
        <v>540</v>
      </c>
    </row>
    <row r="32" spans="2:5" x14ac:dyDescent="0.25">
      <c r="B32" s="13" t="s">
        <v>18</v>
      </c>
      <c r="C32" s="16">
        <v>400</v>
      </c>
    </row>
    <row r="33" spans="2:5" x14ac:dyDescent="0.25">
      <c r="B33" s="13" t="s">
        <v>314</v>
      </c>
      <c r="C33" s="16">
        <v>940</v>
      </c>
      <c r="E33" s="16">
        <f>GETPIVOTDATA("Minecraft Season Pass Price",$B$29)</f>
        <v>940</v>
      </c>
    </row>
  </sheetData>
  <pageMargins left="0.511811024" right="0.511811024" top="0.78740157499999996" bottom="0.78740157499999996" header="0.31496062000000002" footer="0.31496062000000002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2:T297"/>
  <sheetViews>
    <sheetView showGridLines="0" showRowColHeaders="0" tabSelected="1" zoomScale="80" zoomScaleNormal="80" workbookViewId="0">
      <selection activeCell="V14" sqref="V14"/>
    </sheetView>
  </sheetViews>
  <sheetFormatPr defaultRowHeight="15" x14ac:dyDescent="0.25"/>
  <cols>
    <col min="1" max="1" width="27.7109375" style="4" customWidth="1"/>
    <col min="2" max="2" width="3.5703125" customWidth="1"/>
    <col min="12" max="12" width="6.5703125" customWidth="1"/>
  </cols>
  <sheetData>
    <row r="2" spans="1:20" ht="39" customHeight="1" thickBot="1" x14ac:dyDescent="0.5">
      <c r="C2" s="18" t="s">
        <v>316</v>
      </c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7"/>
      <c r="S2" s="17"/>
      <c r="T2" s="17"/>
    </row>
    <row r="3" spans="1:20" ht="39" customHeight="1" thickTop="1" x14ac:dyDescent="0.25"/>
    <row r="4" spans="1:20" s="7" customFormat="1" ht="8.25" customHeight="1" x14ac:dyDescent="0.25">
      <c r="A4" s="4"/>
    </row>
    <row r="5" spans="1:20" s="7" customFormat="1" ht="7.5" customHeight="1" x14ac:dyDescent="0.25">
      <c r="A5" s="4"/>
    </row>
    <row r="6" spans="1:20" s="7" customFormat="1" ht="10.5" customHeight="1" x14ac:dyDescent="0.25">
      <c r="A6" s="4"/>
    </row>
    <row r="7" spans="1:20" s="7" customFormat="1" ht="9.75" customHeight="1" x14ac:dyDescent="0.25">
      <c r="A7" s="4"/>
    </row>
    <row r="8" spans="1:20" s="7" customFormat="1" ht="33" customHeight="1" x14ac:dyDescent="0.25">
      <c r="A8" s="4"/>
    </row>
    <row r="9" spans="1:20" s="7" customFormat="1" x14ac:dyDescent="0.25">
      <c r="A9" s="4"/>
    </row>
    <row r="10" spans="1:20" s="7" customFormat="1" x14ac:dyDescent="0.25">
      <c r="A10" s="4"/>
    </row>
    <row r="11" spans="1:20" s="7" customFormat="1" x14ac:dyDescent="0.25">
      <c r="A11" s="4"/>
    </row>
    <row r="12" spans="1:20" s="7" customFormat="1" x14ac:dyDescent="0.25">
      <c r="A12" s="4"/>
    </row>
    <row r="13" spans="1:20" s="7" customFormat="1" x14ac:dyDescent="0.25">
      <c r="A13" s="4"/>
    </row>
    <row r="14" spans="1:20" s="7" customFormat="1" x14ac:dyDescent="0.25">
      <c r="A14" s="4"/>
    </row>
    <row r="15" spans="1:20" s="7" customFormat="1" x14ac:dyDescent="0.25">
      <c r="A15" s="4"/>
    </row>
    <row r="16" spans="1:20" s="7" customFormat="1" x14ac:dyDescent="0.25">
      <c r="A16" s="4"/>
    </row>
    <row r="17" spans="1:1" s="7" customFormat="1" x14ac:dyDescent="0.25">
      <c r="A17" s="4"/>
    </row>
    <row r="18" spans="1:1" s="7" customFormat="1" x14ac:dyDescent="0.25">
      <c r="A18" s="4"/>
    </row>
    <row r="19" spans="1:1" s="7" customFormat="1" x14ac:dyDescent="0.25">
      <c r="A19" s="4"/>
    </row>
    <row r="20" spans="1:1" s="7" customFormat="1" x14ac:dyDescent="0.25">
      <c r="A20" s="4"/>
    </row>
    <row r="21" spans="1:1" s="7" customFormat="1" x14ac:dyDescent="0.25">
      <c r="A21" s="4"/>
    </row>
    <row r="22" spans="1:1" s="7" customFormat="1" x14ac:dyDescent="0.25">
      <c r="A22" s="4"/>
    </row>
    <row r="23" spans="1:1" s="7" customFormat="1" x14ac:dyDescent="0.25">
      <c r="A23" s="4"/>
    </row>
    <row r="24" spans="1:1" s="7" customFormat="1" x14ac:dyDescent="0.25">
      <c r="A24" s="4"/>
    </row>
    <row r="25" spans="1:1" s="7" customFormat="1" x14ac:dyDescent="0.25">
      <c r="A25" s="4"/>
    </row>
    <row r="26" spans="1:1" s="7" customFormat="1" x14ac:dyDescent="0.25">
      <c r="A26" s="4"/>
    </row>
    <row r="27" spans="1:1" s="7" customFormat="1" x14ac:dyDescent="0.25">
      <c r="A27" s="4"/>
    </row>
    <row r="28" spans="1:1" s="7" customFormat="1" x14ac:dyDescent="0.25">
      <c r="A28" s="4"/>
    </row>
    <row r="29" spans="1:1" s="7" customFormat="1" x14ac:dyDescent="0.25">
      <c r="A29" s="4"/>
    </row>
    <row r="30" spans="1:1" s="7" customFormat="1" x14ac:dyDescent="0.25">
      <c r="A30" s="4"/>
    </row>
    <row r="31" spans="1:1" s="7" customFormat="1" x14ac:dyDescent="0.25">
      <c r="A31" s="4"/>
    </row>
    <row r="32" spans="1:1" s="7" customFormat="1" x14ac:dyDescent="0.25">
      <c r="A32" s="4"/>
    </row>
    <row r="33" spans="1:1" s="7" customFormat="1" x14ac:dyDescent="0.25">
      <c r="A33" s="4"/>
    </row>
    <row r="34" spans="1:1" s="7" customFormat="1" x14ac:dyDescent="0.25">
      <c r="A34" s="4"/>
    </row>
    <row r="35" spans="1:1" s="7" customFormat="1" x14ac:dyDescent="0.25">
      <c r="A35" s="4"/>
    </row>
    <row r="36" spans="1:1" s="7" customFormat="1" x14ac:dyDescent="0.25">
      <c r="A36" s="4"/>
    </row>
    <row r="37" spans="1:1" s="7" customFormat="1" x14ac:dyDescent="0.25">
      <c r="A37" s="4"/>
    </row>
    <row r="38" spans="1:1" s="7" customFormat="1" x14ac:dyDescent="0.25">
      <c r="A38" s="4"/>
    </row>
    <row r="39" spans="1:1" s="7" customFormat="1" x14ac:dyDescent="0.25">
      <c r="A39" s="4"/>
    </row>
    <row r="40" spans="1:1" s="7" customFormat="1" x14ac:dyDescent="0.25">
      <c r="A40" s="4"/>
    </row>
    <row r="41" spans="1:1" s="7" customFormat="1" x14ac:dyDescent="0.25">
      <c r="A41" s="4"/>
    </row>
    <row r="42" spans="1:1" s="7" customFormat="1" x14ac:dyDescent="0.25">
      <c r="A42" s="4"/>
    </row>
    <row r="43" spans="1:1" s="7" customFormat="1" x14ac:dyDescent="0.25">
      <c r="A43" s="4"/>
    </row>
    <row r="44" spans="1:1" s="7" customFormat="1" x14ac:dyDescent="0.25">
      <c r="A44" s="4"/>
    </row>
    <row r="45" spans="1:1" s="7" customFormat="1" x14ac:dyDescent="0.25">
      <c r="A45" s="4"/>
    </row>
    <row r="46" spans="1:1" s="7" customFormat="1" x14ac:dyDescent="0.25">
      <c r="A46" s="4"/>
    </row>
    <row r="47" spans="1:1" s="7" customFormat="1" x14ac:dyDescent="0.25">
      <c r="A47" s="4"/>
    </row>
    <row r="48" spans="1:1" s="7" customFormat="1" x14ac:dyDescent="0.25">
      <c r="A48" s="4"/>
    </row>
    <row r="49" spans="1:1" s="7" customFormat="1" x14ac:dyDescent="0.25">
      <c r="A49" s="4"/>
    </row>
    <row r="50" spans="1:1" s="7" customFormat="1" x14ac:dyDescent="0.25">
      <c r="A50" s="4"/>
    </row>
    <row r="51" spans="1:1" s="7" customFormat="1" x14ac:dyDescent="0.25">
      <c r="A51" s="4"/>
    </row>
    <row r="52" spans="1:1" s="7" customFormat="1" x14ac:dyDescent="0.25">
      <c r="A52" s="4"/>
    </row>
    <row r="53" spans="1:1" s="7" customFormat="1" x14ac:dyDescent="0.25">
      <c r="A53" s="4"/>
    </row>
    <row r="54" spans="1:1" s="7" customFormat="1" x14ac:dyDescent="0.25">
      <c r="A54" s="4"/>
    </row>
    <row r="55" spans="1:1" s="7" customFormat="1" x14ac:dyDescent="0.25">
      <c r="A55" s="4"/>
    </row>
    <row r="56" spans="1:1" s="7" customFormat="1" x14ac:dyDescent="0.25">
      <c r="A56" s="4"/>
    </row>
    <row r="57" spans="1:1" s="7" customFormat="1" x14ac:dyDescent="0.25">
      <c r="A57" s="4"/>
    </row>
    <row r="58" spans="1:1" s="7" customFormat="1" x14ac:dyDescent="0.25">
      <c r="A58" s="4"/>
    </row>
    <row r="59" spans="1:1" s="7" customFormat="1" x14ac:dyDescent="0.25">
      <c r="A59" s="4"/>
    </row>
    <row r="60" spans="1:1" s="7" customFormat="1" x14ac:dyDescent="0.25">
      <c r="A60" s="4"/>
    </row>
    <row r="61" spans="1:1" s="7" customFormat="1" x14ac:dyDescent="0.25">
      <c r="A61" s="4"/>
    </row>
    <row r="62" spans="1:1" s="7" customFormat="1" x14ac:dyDescent="0.25">
      <c r="A62" s="4"/>
    </row>
    <row r="63" spans="1:1" s="7" customFormat="1" x14ac:dyDescent="0.25">
      <c r="A63" s="4"/>
    </row>
    <row r="64" spans="1:1" s="7" customFormat="1" x14ac:dyDescent="0.25">
      <c r="A64" s="4"/>
    </row>
    <row r="65" spans="1:1" s="7" customFormat="1" x14ac:dyDescent="0.25">
      <c r="A65" s="4"/>
    </row>
    <row r="66" spans="1:1" s="7" customFormat="1" x14ac:dyDescent="0.25">
      <c r="A66" s="4"/>
    </row>
    <row r="67" spans="1:1" s="7" customFormat="1" x14ac:dyDescent="0.25">
      <c r="A67" s="4"/>
    </row>
    <row r="68" spans="1:1" s="7" customFormat="1" x14ac:dyDescent="0.25">
      <c r="A68" s="4"/>
    </row>
    <row r="69" spans="1:1" s="7" customFormat="1" x14ac:dyDescent="0.25">
      <c r="A69" s="4"/>
    </row>
    <row r="70" spans="1:1" s="7" customFormat="1" x14ac:dyDescent="0.25">
      <c r="A70" s="4"/>
    </row>
    <row r="71" spans="1:1" s="7" customFormat="1" x14ac:dyDescent="0.25">
      <c r="A71" s="4"/>
    </row>
    <row r="72" spans="1:1" s="7" customFormat="1" x14ac:dyDescent="0.25">
      <c r="A72" s="4"/>
    </row>
    <row r="73" spans="1:1" s="7" customFormat="1" x14ac:dyDescent="0.25">
      <c r="A73" s="4"/>
    </row>
    <row r="74" spans="1:1" s="7" customFormat="1" x14ac:dyDescent="0.25">
      <c r="A74" s="4"/>
    </row>
    <row r="75" spans="1:1" s="7" customFormat="1" x14ac:dyDescent="0.25">
      <c r="A75" s="4"/>
    </row>
    <row r="76" spans="1:1" s="7" customFormat="1" x14ac:dyDescent="0.25">
      <c r="A76" s="4"/>
    </row>
    <row r="77" spans="1:1" s="7" customFormat="1" x14ac:dyDescent="0.25">
      <c r="A77" s="4"/>
    </row>
    <row r="78" spans="1:1" s="7" customFormat="1" x14ac:dyDescent="0.25">
      <c r="A78" s="4"/>
    </row>
    <row r="79" spans="1:1" s="7" customFormat="1" x14ac:dyDescent="0.25">
      <c r="A79" s="4"/>
    </row>
    <row r="80" spans="1:1" s="7" customFormat="1" x14ac:dyDescent="0.25">
      <c r="A80" s="4"/>
    </row>
    <row r="81" spans="1:1" s="7" customFormat="1" x14ac:dyDescent="0.25">
      <c r="A81" s="4"/>
    </row>
    <row r="82" spans="1:1" s="7" customFormat="1" x14ac:dyDescent="0.25">
      <c r="A82" s="4"/>
    </row>
    <row r="83" spans="1:1" s="7" customFormat="1" x14ac:dyDescent="0.25">
      <c r="A83" s="4"/>
    </row>
    <row r="84" spans="1:1" s="7" customFormat="1" x14ac:dyDescent="0.25">
      <c r="A84" s="4"/>
    </row>
    <row r="85" spans="1:1" s="7" customFormat="1" x14ac:dyDescent="0.25">
      <c r="A85" s="4"/>
    </row>
    <row r="86" spans="1:1" s="7" customFormat="1" x14ac:dyDescent="0.25">
      <c r="A86" s="4"/>
    </row>
    <row r="87" spans="1:1" s="7" customFormat="1" x14ac:dyDescent="0.25">
      <c r="A87" s="4"/>
    </row>
    <row r="88" spans="1:1" s="7" customFormat="1" x14ac:dyDescent="0.25">
      <c r="A88" s="4"/>
    </row>
    <row r="89" spans="1:1" s="7" customFormat="1" x14ac:dyDescent="0.25">
      <c r="A89" s="4"/>
    </row>
    <row r="90" spans="1:1" s="7" customFormat="1" x14ac:dyDescent="0.25">
      <c r="A90" s="4"/>
    </row>
    <row r="91" spans="1:1" s="7" customFormat="1" x14ac:dyDescent="0.25">
      <c r="A91" s="4"/>
    </row>
    <row r="92" spans="1:1" s="7" customFormat="1" x14ac:dyDescent="0.25">
      <c r="A92" s="4"/>
    </row>
    <row r="93" spans="1:1" s="7" customFormat="1" x14ac:dyDescent="0.25">
      <c r="A93" s="4"/>
    </row>
    <row r="94" spans="1:1" s="7" customFormat="1" x14ac:dyDescent="0.25">
      <c r="A94" s="4"/>
    </row>
    <row r="95" spans="1:1" s="7" customFormat="1" x14ac:dyDescent="0.25">
      <c r="A95" s="4"/>
    </row>
    <row r="96" spans="1:1" s="7" customFormat="1" x14ac:dyDescent="0.25">
      <c r="A96" s="4"/>
    </row>
    <row r="97" spans="1:1" s="7" customFormat="1" x14ac:dyDescent="0.25">
      <c r="A97" s="4"/>
    </row>
    <row r="98" spans="1:1" s="7" customFormat="1" x14ac:dyDescent="0.25">
      <c r="A98" s="4"/>
    </row>
    <row r="99" spans="1:1" s="7" customFormat="1" x14ac:dyDescent="0.25">
      <c r="A99" s="4"/>
    </row>
    <row r="100" spans="1:1" s="7" customFormat="1" x14ac:dyDescent="0.25">
      <c r="A100" s="4"/>
    </row>
    <row r="101" spans="1:1" s="7" customFormat="1" x14ac:dyDescent="0.25">
      <c r="A101" s="4"/>
    </row>
    <row r="102" spans="1:1" s="7" customFormat="1" x14ac:dyDescent="0.25">
      <c r="A102" s="4"/>
    </row>
    <row r="103" spans="1:1" s="7" customFormat="1" x14ac:dyDescent="0.25">
      <c r="A103" s="4"/>
    </row>
    <row r="104" spans="1:1" s="7" customFormat="1" x14ac:dyDescent="0.25">
      <c r="A104" s="4"/>
    </row>
    <row r="105" spans="1:1" s="7" customFormat="1" x14ac:dyDescent="0.25">
      <c r="A105" s="4"/>
    </row>
    <row r="106" spans="1:1" s="7" customFormat="1" x14ac:dyDescent="0.25">
      <c r="A106" s="4"/>
    </row>
    <row r="107" spans="1:1" s="7" customFormat="1" x14ac:dyDescent="0.25">
      <c r="A107" s="4"/>
    </row>
    <row r="108" spans="1:1" s="7" customFormat="1" x14ac:dyDescent="0.25">
      <c r="A108" s="4"/>
    </row>
    <row r="109" spans="1:1" s="7" customFormat="1" x14ac:dyDescent="0.25">
      <c r="A109" s="4"/>
    </row>
    <row r="110" spans="1:1" s="7" customFormat="1" x14ac:dyDescent="0.25">
      <c r="A110" s="4"/>
    </row>
    <row r="111" spans="1:1" s="7" customFormat="1" x14ac:dyDescent="0.25">
      <c r="A111" s="4"/>
    </row>
    <row r="112" spans="1:1" s="7" customFormat="1" x14ac:dyDescent="0.25">
      <c r="A112" s="4"/>
    </row>
    <row r="113" spans="1:1" s="7" customFormat="1" x14ac:dyDescent="0.25">
      <c r="A113" s="4"/>
    </row>
    <row r="114" spans="1:1" s="7" customFormat="1" x14ac:dyDescent="0.25">
      <c r="A114" s="4"/>
    </row>
    <row r="115" spans="1:1" s="7" customFormat="1" x14ac:dyDescent="0.25">
      <c r="A115" s="4"/>
    </row>
    <row r="116" spans="1:1" s="7" customFormat="1" x14ac:dyDescent="0.25">
      <c r="A116" s="4"/>
    </row>
    <row r="117" spans="1:1" s="7" customFormat="1" x14ac:dyDescent="0.25">
      <c r="A117" s="4"/>
    </row>
    <row r="118" spans="1:1" s="7" customFormat="1" x14ac:dyDescent="0.25">
      <c r="A118" s="4"/>
    </row>
    <row r="119" spans="1:1" s="7" customFormat="1" x14ac:dyDescent="0.25">
      <c r="A119" s="4"/>
    </row>
    <row r="120" spans="1:1" s="7" customFormat="1" x14ac:dyDescent="0.25">
      <c r="A120" s="4"/>
    </row>
    <row r="121" spans="1:1" s="7" customFormat="1" x14ac:dyDescent="0.25">
      <c r="A121" s="4"/>
    </row>
    <row r="122" spans="1:1" s="7" customFormat="1" x14ac:dyDescent="0.25">
      <c r="A122" s="4"/>
    </row>
    <row r="123" spans="1:1" s="7" customFormat="1" x14ac:dyDescent="0.25">
      <c r="A123" s="4"/>
    </row>
    <row r="124" spans="1:1" s="7" customFormat="1" x14ac:dyDescent="0.25">
      <c r="A124" s="4"/>
    </row>
    <row r="125" spans="1:1" s="7" customFormat="1" x14ac:dyDescent="0.25">
      <c r="A125" s="4"/>
    </row>
    <row r="126" spans="1:1" s="7" customFormat="1" x14ac:dyDescent="0.25">
      <c r="A126" s="4"/>
    </row>
    <row r="127" spans="1:1" s="7" customFormat="1" x14ac:dyDescent="0.25">
      <c r="A127" s="4"/>
    </row>
    <row r="128" spans="1:1" s="7" customFormat="1" x14ac:dyDescent="0.25">
      <c r="A128" s="4"/>
    </row>
    <row r="129" spans="1:1" s="7" customFormat="1" x14ac:dyDescent="0.25">
      <c r="A129" s="4"/>
    </row>
    <row r="130" spans="1:1" s="7" customFormat="1" x14ac:dyDescent="0.25">
      <c r="A130" s="4"/>
    </row>
    <row r="131" spans="1:1" s="7" customFormat="1" x14ac:dyDescent="0.25">
      <c r="A131" s="4"/>
    </row>
    <row r="132" spans="1:1" s="7" customFormat="1" x14ac:dyDescent="0.25">
      <c r="A132" s="4"/>
    </row>
    <row r="133" spans="1:1" s="7" customFormat="1" x14ac:dyDescent="0.25">
      <c r="A133" s="4"/>
    </row>
    <row r="134" spans="1:1" s="7" customFormat="1" x14ac:dyDescent="0.25">
      <c r="A134" s="4"/>
    </row>
    <row r="135" spans="1:1" s="7" customFormat="1" x14ac:dyDescent="0.25">
      <c r="A135" s="4"/>
    </row>
    <row r="136" spans="1:1" s="7" customFormat="1" x14ac:dyDescent="0.25">
      <c r="A136" s="4"/>
    </row>
    <row r="137" spans="1:1" s="7" customFormat="1" x14ac:dyDescent="0.25">
      <c r="A137" s="4"/>
    </row>
    <row r="138" spans="1:1" s="7" customFormat="1" x14ac:dyDescent="0.25">
      <c r="A138" s="4"/>
    </row>
    <row r="139" spans="1:1" s="7" customFormat="1" x14ac:dyDescent="0.25">
      <c r="A139" s="4"/>
    </row>
    <row r="140" spans="1:1" s="7" customFormat="1" x14ac:dyDescent="0.25">
      <c r="A140" s="4"/>
    </row>
    <row r="141" spans="1:1" s="7" customFormat="1" x14ac:dyDescent="0.25">
      <c r="A141" s="4"/>
    </row>
    <row r="142" spans="1:1" s="7" customFormat="1" x14ac:dyDescent="0.25">
      <c r="A142" s="4"/>
    </row>
    <row r="143" spans="1:1" s="7" customFormat="1" x14ac:dyDescent="0.25">
      <c r="A143" s="4"/>
    </row>
    <row r="144" spans="1:1" s="7" customFormat="1" x14ac:dyDescent="0.25">
      <c r="A144" s="4"/>
    </row>
    <row r="145" spans="1:1" s="7" customFormat="1" x14ac:dyDescent="0.25">
      <c r="A145" s="4"/>
    </row>
    <row r="146" spans="1:1" s="7" customFormat="1" x14ac:dyDescent="0.25">
      <c r="A146" s="4"/>
    </row>
    <row r="147" spans="1:1" s="7" customFormat="1" x14ac:dyDescent="0.25">
      <c r="A147" s="4"/>
    </row>
    <row r="148" spans="1:1" s="7" customFormat="1" x14ac:dyDescent="0.25">
      <c r="A148" s="4"/>
    </row>
    <row r="149" spans="1:1" s="7" customFormat="1" x14ac:dyDescent="0.25">
      <c r="A149" s="4"/>
    </row>
    <row r="150" spans="1:1" s="7" customFormat="1" x14ac:dyDescent="0.25">
      <c r="A150" s="4"/>
    </row>
    <row r="151" spans="1:1" s="7" customFormat="1" x14ac:dyDescent="0.25">
      <c r="A151" s="4"/>
    </row>
    <row r="152" spans="1:1" s="7" customFormat="1" x14ac:dyDescent="0.25">
      <c r="A152" s="4"/>
    </row>
    <row r="153" spans="1:1" s="7" customFormat="1" x14ac:dyDescent="0.25">
      <c r="A153" s="4"/>
    </row>
    <row r="154" spans="1:1" s="7" customFormat="1" x14ac:dyDescent="0.25">
      <c r="A154" s="4"/>
    </row>
    <row r="155" spans="1:1" s="7" customFormat="1" x14ac:dyDescent="0.25">
      <c r="A155" s="4"/>
    </row>
    <row r="156" spans="1:1" s="7" customFormat="1" x14ac:dyDescent="0.25">
      <c r="A156" s="4"/>
    </row>
    <row r="157" spans="1:1" s="7" customFormat="1" x14ac:dyDescent="0.25">
      <c r="A157" s="4"/>
    </row>
    <row r="158" spans="1:1" s="7" customFormat="1" x14ac:dyDescent="0.25">
      <c r="A158" s="4"/>
    </row>
    <row r="159" spans="1:1" s="7" customFormat="1" x14ac:dyDescent="0.25">
      <c r="A159" s="4"/>
    </row>
    <row r="160" spans="1:1" s="7" customFormat="1" x14ac:dyDescent="0.25">
      <c r="A160" s="4"/>
    </row>
    <row r="161" spans="1:1" s="7" customFormat="1" x14ac:dyDescent="0.25">
      <c r="A161" s="4"/>
    </row>
    <row r="162" spans="1:1" s="7" customFormat="1" x14ac:dyDescent="0.25">
      <c r="A162" s="4"/>
    </row>
    <row r="163" spans="1:1" s="7" customFormat="1" x14ac:dyDescent="0.25">
      <c r="A163" s="4"/>
    </row>
    <row r="164" spans="1:1" s="7" customFormat="1" x14ac:dyDescent="0.25">
      <c r="A164" s="4"/>
    </row>
    <row r="165" spans="1:1" s="7" customFormat="1" x14ac:dyDescent="0.25">
      <c r="A165" s="4"/>
    </row>
    <row r="166" spans="1:1" s="7" customFormat="1" x14ac:dyDescent="0.25">
      <c r="A166" s="4"/>
    </row>
    <row r="167" spans="1:1" s="7" customFormat="1" x14ac:dyDescent="0.25">
      <c r="A167" s="4"/>
    </row>
    <row r="168" spans="1:1" s="7" customFormat="1" x14ac:dyDescent="0.25">
      <c r="A168" s="4"/>
    </row>
    <row r="169" spans="1:1" s="7" customFormat="1" x14ac:dyDescent="0.25">
      <c r="A169" s="4"/>
    </row>
    <row r="170" spans="1:1" s="7" customFormat="1" x14ac:dyDescent="0.25">
      <c r="A170" s="4"/>
    </row>
    <row r="171" spans="1:1" s="7" customFormat="1" x14ac:dyDescent="0.25">
      <c r="A171" s="4"/>
    </row>
    <row r="172" spans="1:1" s="7" customFormat="1" x14ac:dyDescent="0.25">
      <c r="A172" s="4"/>
    </row>
    <row r="173" spans="1:1" s="7" customFormat="1" x14ac:dyDescent="0.25">
      <c r="A173" s="4"/>
    </row>
    <row r="174" spans="1:1" s="7" customFormat="1" x14ac:dyDescent="0.25">
      <c r="A174" s="4"/>
    </row>
    <row r="175" spans="1:1" s="7" customFormat="1" x14ac:dyDescent="0.25">
      <c r="A175" s="4"/>
    </row>
    <row r="176" spans="1:1" s="7" customFormat="1" x14ac:dyDescent="0.25">
      <c r="A176" s="4"/>
    </row>
    <row r="177" spans="1:1" s="7" customFormat="1" x14ac:dyDescent="0.25">
      <c r="A177" s="4"/>
    </row>
    <row r="178" spans="1:1" s="7" customFormat="1" x14ac:dyDescent="0.25">
      <c r="A178" s="4"/>
    </row>
    <row r="179" spans="1:1" s="7" customFormat="1" x14ac:dyDescent="0.25">
      <c r="A179" s="4"/>
    </row>
    <row r="180" spans="1:1" s="7" customFormat="1" x14ac:dyDescent="0.25">
      <c r="A180" s="4"/>
    </row>
    <row r="181" spans="1:1" s="7" customFormat="1" x14ac:dyDescent="0.25">
      <c r="A181" s="4"/>
    </row>
    <row r="182" spans="1:1" s="7" customFormat="1" x14ac:dyDescent="0.25">
      <c r="A182" s="4"/>
    </row>
    <row r="183" spans="1:1" s="7" customFormat="1" x14ac:dyDescent="0.25">
      <c r="A183" s="4"/>
    </row>
    <row r="184" spans="1:1" s="7" customFormat="1" x14ac:dyDescent="0.25">
      <c r="A184" s="4"/>
    </row>
    <row r="185" spans="1:1" s="7" customFormat="1" x14ac:dyDescent="0.25">
      <c r="A185" s="4"/>
    </row>
    <row r="186" spans="1:1" s="7" customFormat="1" x14ac:dyDescent="0.25">
      <c r="A186" s="4"/>
    </row>
    <row r="187" spans="1:1" s="7" customFormat="1" x14ac:dyDescent="0.25">
      <c r="A187" s="4"/>
    </row>
    <row r="188" spans="1:1" s="7" customFormat="1" x14ac:dyDescent="0.25">
      <c r="A188" s="4"/>
    </row>
    <row r="189" spans="1:1" s="7" customFormat="1" x14ac:dyDescent="0.25">
      <c r="A189" s="4"/>
    </row>
    <row r="190" spans="1:1" s="7" customFormat="1" x14ac:dyDescent="0.25">
      <c r="A190" s="4"/>
    </row>
    <row r="191" spans="1:1" s="7" customFormat="1" x14ac:dyDescent="0.25">
      <c r="A191" s="4"/>
    </row>
    <row r="192" spans="1:1" s="7" customFormat="1" x14ac:dyDescent="0.25">
      <c r="A192" s="4"/>
    </row>
    <row r="193" spans="1:1" s="7" customFormat="1" x14ac:dyDescent="0.25">
      <c r="A193" s="4"/>
    </row>
    <row r="194" spans="1:1" s="7" customFormat="1" x14ac:dyDescent="0.25">
      <c r="A194" s="4"/>
    </row>
    <row r="195" spans="1:1" s="7" customFormat="1" x14ac:dyDescent="0.25">
      <c r="A195" s="4"/>
    </row>
    <row r="196" spans="1:1" s="7" customFormat="1" x14ac:dyDescent="0.25">
      <c r="A196" s="4"/>
    </row>
    <row r="197" spans="1:1" s="7" customFormat="1" x14ac:dyDescent="0.25">
      <c r="A197" s="4"/>
    </row>
    <row r="198" spans="1:1" s="7" customFormat="1" x14ac:dyDescent="0.25">
      <c r="A198" s="4"/>
    </row>
    <row r="199" spans="1:1" s="7" customFormat="1" x14ac:dyDescent="0.25">
      <c r="A199" s="4"/>
    </row>
    <row r="200" spans="1:1" s="7" customFormat="1" x14ac:dyDescent="0.25">
      <c r="A200" s="4"/>
    </row>
    <row r="201" spans="1:1" s="7" customFormat="1" x14ac:dyDescent="0.25">
      <c r="A201" s="4"/>
    </row>
    <row r="202" spans="1:1" s="7" customFormat="1" x14ac:dyDescent="0.25">
      <c r="A202" s="4"/>
    </row>
    <row r="203" spans="1:1" s="7" customFormat="1" x14ac:dyDescent="0.25">
      <c r="A203" s="4"/>
    </row>
    <row r="204" spans="1:1" s="7" customFormat="1" x14ac:dyDescent="0.25">
      <c r="A204" s="4"/>
    </row>
    <row r="205" spans="1:1" s="7" customFormat="1" x14ac:dyDescent="0.25">
      <c r="A205" s="4"/>
    </row>
    <row r="206" spans="1:1" s="7" customFormat="1" x14ac:dyDescent="0.25">
      <c r="A206" s="4"/>
    </row>
    <row r="207" spans="1:1" s="7" customFormat="1" x14ac:dyDescent="0.25">
      <c r="A207" s="4"/>
    </row>
    <row r="208" spans="1:1" s="7" customFormat="1" x14ac:dyDescent="0.25">
      <c r="A208" s="4"/>
    </row>
    <row r="209" spans="1:1" s="7" customFormat="1" x14ac:dyDescent="0.25">
      <c r="A209" s="4"/>
    </row>
    <row r="210" spans="1:1" s="7" customFormat="1" x14ac:dyDescent="0.25">
      <c r="A210" s="4"/>
    </row>
    <row r="211" spans="1:1" s="7" customFormat="1" x14ac:dyDescent="0.25">
      <c r="A211" s="4"/>
    </row>
    <row r="212" spans="1:1" s="7" customFormat="1" x14ac:dyDescent="0.25">
      <c r="A212" s="4"/>
    </row>
    <row r="213" spans="1:1" s="7" customFormat="1" x14ac:dyDescent="0.25">
      <c r="A213" s="4"/>
    </row>
    <row r="214" spans="1:1" s="7" customFormat="1" x14ac:dyDescent="0.25">
      <c r="A214" s="4"/>
    </row>
    <row r="215" spans="1:1" s="7" customFormat="1" x14ac:dyDescent="0.25">
      <c r="A215" s="4"/>
    </row>
    <row r="216" spans="1:1" s="7" customFormat="1" x14ac:dyDescent="0.25">
      <c r="A216" s="4"/>
    </row>
    <row r="217" spans="1:1" s="7" customFormat="1" x14ac:dyDescent="0.25">
      <c r="A217" s="4"/>
    </row>
    <row r="218" spans="1:1" s="7" customFormat="1" x14ac:dyDescent="0.25">
      <c r="A218" s="4"/>
    </row>
    <row r="219" spans="1:1" s="7" customFormat="1" x14ac:dyDescent="0.25">
      <c r="A219" s="4"/>
    </row>
    <row r="220" spans="1:1" s="7" customFormat="1" x14ac:dyDescent="0.25">
      <c r="A220" s="4"/>
    </row>
    <row r="221" spans="1:1" s="7" customFormat="1" x14ac:dyDescent="0.25">
      <c r="A221" s="4"/>
    </row>
    <row r="222" spans="1:1" s="7" customFormat="1" x14ac:dyDescent="0.25">
      <c r="A222" s="4"/>
    </row>
    <row r="223" spans="1:1" s="7" customFormat="1" x14ac:dyDescent="0.25">
      <c r="A223" s="4"/>
    </row>
    <row r="224" spans="1:1" s="7" customFormat="1" x14ac:dyDescent="0.25">
      <c r="A224" s="4"/>
    </row>
    <row r="225" spans="1:1" s="7" customFormat="1" x14ac:dyDescent="0.25">
      <c r="A225" s="4"/>
    </row>
    <row r="226" spans="1:1" s="7" customFormat="1" x14ac:dyDescent="0.25">
      <c r="A226" s="4"/>
    </row>
    <row r="227" spans="1:1" s="7" customFormat="1" x14ac:dyDescent="0.25">
      <c r="A227" s="4"/>
    </row>
    <row r="228" spans="1:1" s="7" customFormat="1" x14ac:dyDescent="0.25">
      <c r="A228" s="4"/>
    </row>
    <row r="229" spans="1:1" s="7" customFormat="1" x14ac:dyDescent="0.25">
      <c r="A229" s="4"/>
    </row>
    <row r="230" spans="1:1" s="7" customFormat="1" x14ac:dyDescent="0.25">
      <c r="A230" s="4"/>
    </row>
    <row r="231" spans="1:1" s="7" customFormat="1" x14ac:dyDescent="0.25">
      <c r="A231" s="4"/>
    </row>
    <row r="232" spans="1:1" s="7" customFormat="1" x14ac:dyDescent="0.25">
      <c r="A232" s="4"/>
    </row>
    <row r="233" spans="1:1" s="7" customFormat="1" x14ac:dyDescent="0.25">
      <c r="A233" s="4"/>
    </row>
    <row r="234" spans="1:1" s="7" customFormat="1" x14ac:dyDescent="0.25">
      <c r="A234" s="4"/>
    </row>
    <row r="235" spans="1:1" s="7" customFormat="1" x14ac:dyDescent="0.25">
      <c r="A235" s="4"/>
    </row>
    <row r="236" spans="1:1" s="7" customFormat="1" x14ac:dyDescent="0.25">
      <c r="A236" s="4"/>
    </row>
    <row r="237" spans="1:1" s="7" customFormat="1" x14ac:dyDescent="0.25">
      <c r="A237" s="4"/>
    </row>
    <row r="238" spans="1:1" s="7" customFormat="1" x14ac:dyDescent="0.25">
      <c r="A238" s="4"/>
    </row>
    <row r="239" spans="1:1" s="7" customFormat="1" x14ac:dyDescent="0.25">
      <c r="A239" s="4"/>
    </row>
    <row r="240" spans="1:1" s="7" customFormat="1" x14ac:dyDescent="0.25">
      <c r="A240" s="4"/>
    </row>
    <row r="241" spans="1:1" s="7" customFormat="1" x14ac:dyDescent="0.25">
      <c r="A241" s="4"/>
    </row>
    <row r="242" spans="1:1" s="7" customFormat="1" x14ac:dyDescent="0.25">
      <c r="A242" s="4"/>
    </row>
    <row r="243" spans="1:1" s="7" customFormat="1" x14ac:dyDescent="0.25">
      <c r="A243" s="4"/>
    </row>
    <row r="244" spans="1:1" s="7" customFormat="1" x14ac:dyDescent="0.25">
      <c r="A244" s="4"/>
    </row>
    <row r="245" spans="1:1" s="7" customFormat="1" x14ac:dyDescent="0.25">
      <c r="A245" s="4"/>
    </row>
    <row r="246" spans="1:1" s="7" customFormat="1" x14ac:dyDescent="0.25">
      <c r="A246" s="4"/>
    </row>
    <row r="247" spans="1:1" s="7" customFormat="1" x14ac:dyDescent="0.25">
      <c r="A247" s="4"/>
    </row>
    <row r="248" spans="1:1" s="7" customFormat="1" x14ac:dyDescent="0.25">
      <c r="A248" s="4"/>
    </row>
    <row r="249" spans="1:1" s="7" customFormat="1" x14ac:dyDescent="0.25">
      <c r="A249" s="4"/>
    </row>
    <row r="250" spans="1:1" s="7" customFormat="1" x14ac:dyDescent="0.25">
      <c r="A250" s="4"/>
    </row>
    <row r="251" spans="1:1" s="7" customFormat="1" x14ac:dyDescent="0.25">
      <c r="A251" s="4"/>
    </row>
    <row r="252" spans="1:1" s="7" customFormat="1" x14ac:dyDescent="0.25">
      <c r="A252" s="4"/>
    </row>
    <row r="253" spans="1:1" s="7" customFormat="1" x14ac:dyDescent="0.25">
      <c r="A253" s="4"/>
    </row>
    <row r="254" spans="1:1" s="7" customFormat="1" x14ac:dyDescent="0.25">
      <c r="A254" s="4"/>
    </row>
    <row r="255" spans="1:1" s="7" customFormat="1" x14ac:dyDescent="0.25">
      <c r="A255" s="4"/>
    </row>
    <row r="256" spans="1:1" s="7" customFormat="1" x14ac:dyDescent="0.25">
      <c r="A256" s="4"/>
    </row>
    <row r="257" spans="1:1" s="7" customFormat="1" x14ac:dyDescent="0.25">
      <c r="A257" s="4"/>
    </row>
    <row r="258" spans="1:1" s="7" customFormat="1" x14ac:dyDescent="0.25">
      <c r="A258" s="4"/>
    </row>
    <row r="259" spans="1:1" s="7" customFormat="1" x14ac:dyDescent="0.25">
      <c r="A259" s="4"/>
    </row>
    <row r="260" spans="1:1" s="7" customFormat="1" x14ac:dyDescent="0.25">
      <c r="A260" s="4"/>
    </row>
    <row r="261" spans="1:1" s="7" customFormat="1" x14ac:dyDescent="0.25">
      <c r="A261" s="4"/>
    </row>
    <row r="262" spans="1:1" s="7" customFormat="1" x14ac:dyDescent="0.25">
      <c r="A262" s="4"/>
    </row>
    <row r="263" spans="1:1" s="7" customFormat="1" x14ac:dyDescent="0.25">
      <c r="A263" s="4"/>
    </row>
    <row r="264" spans="1:1" s="7" customFormat="1" x14ac:dyDescent="0.25">
      <c r="A264" s="4"/>
    </row>
    <row r="265" spans="1:1" s="7" customFormat="1" x14ac:dyDescent="0.25">
      <c r="A265" s="4"/>
    </row>
    <row r="266" spans="1:1" s="7" customFormat="1" x14ac:dyDescent="0.25">
      <c r="A266" s="4"/>
    </row>
    <row r="267" spans="1:1" s="7" customFormat="1" x14ac:dyDescent="0.25">
      <c r="A267" s="4"/>
    </row>
    <row r="268" spans="1:1" s="7" customFormat="1" x14ac:dyDescent="0.25">
      <c r="A268" s="4"/>
    </row>
    <row r="269" spans="1:1" s="7" customFormat="1" x14ac:dyDescent="0.25">
      <c r="A269" s="4"/>
    </row>
    <row r="270" spans="1:1" s="7" customFormat="1" x14ac:dyDescent="0.25">
      <c r="A270" s="4"/>
    </row>
    <row r="271" spans="1:1" s="7" customFormat="1" x14ac:dyDescent="0.25">
      <c r="A271" s="4"/>
    </row>
    <row r="272" spans="1:1" s="7" customFormat="1" x14ac:dyDescent="0.25">
      <c r="A272" s="4"/>
    </row>
    <row r="273" spans="1:1" s="7" customFormat="1" x14ac:dyDescent="0.25">
      <c r="A273" s="4"/>
    </row>
    <row r="274" spans="1:1" s="7" customFormat="1" x14ac:dyDescent="0.25">
      <c r="A274" s="4"/>
    </row>
    <row r="275" spans="1:1" s="7" customFormat="1" x14ac:dyDescent="0.25">
      <c r="A275" s="4"/>
    </row>
    <row r="276" spans="1:1" s="7" customFormat="1" x14ac:dyDescent="0.25">
      <c r="A276" s="4"/>
    </row>
    <row r="277" spans="1:1" s="7" customFormat="1" x14ac:dyDescent="0.25">
      <c r="A277" s="4"/>
    </row>
    <row r="278" spans="1:1" s="7" customFormat="1" x14ac:dyDescent="0.25">
      <c r="A278" s="4"/>
    </row>
    <row r="279" spans="1:1" s="7" customFormat="1" x14ac:dyDescent="0.25">
      <c r="A279" s="4"/>
    </row>
    <row r="280" spans="1:1" s="7" customFormat="1" x14ac:dyDescent="0.25">
      <c r="A280" s="4"/>
    </row>
    <row r="281" spans="1:1" s="7" customFormat="1" x14ac:dyDescent="0.25">
      <c r="A281" s="4"/>
    </row>
    <row r="282" spans="1:1" s="7" customFormat="1" x14ac:dyDescent="0.25">
      <c r="A282" s="4"/>
    </row>
    <row r="283" spans="1:1" s="7" customFormat="1" x14ac:dyDescent="0.25">
      <c r="A283" s="4"/>
    </row>
    <row r="284" spans="1:1" s="7" customFormat="1" x14ac:dyDescent="0.25">
      <c r="A284" s="4"/>
    </row>
    <row r="285" spans="1:1" s="7" customFormat="1" x14ac:dyDescent="0.25">
      <c r="A285" s="4"/>
    </row>
    <row r="286" spans="1:1" s="7" customFormat="1" x14ac:dyDescent="0.25">
      <c r="A286" s="4"/>
    </row>
    <row r="287" spans="1:1" s="7" customFormat="1" x14ac:dyDescent="0.25">
      <c r="A287" s="4"/>
    </row>
    <row r="288" spans="1:1" s="7" customFormat="1" x14ac:dyDescent="0.25">
      <c r="A288" s="4"/>
    </row>
    <row r="289" spans="1:1" s="7" customFormat="1" x14ac:dyDescent="0.25">
      <c r="A289" s="4"/>
    </row>
    <row r="290" spans="1:1" s="7" customFormat="1" x14ac:dyDescent="0.25">
      <c r="A290" s="4"/>
    </row>
    <row r="291" spans="1:1" s="7" customFormat="1" x14ac:dyDescent="0.25">
      <c r="A291" s="4"/>
    </row>
    <row r="292" spans="1:1" s="7" customFormat="1" x14ac:dyDescent="0.25">
      <c r="A292" s="4"/>
    </row>
    <row r="293" spans="1:1" s="7" customFormat="1" x14ac:dyDescent="0.25">
      <c r="A293" s="4"/>
    </row>
    <row r="294" spans="1:1" s="7" customFormat="1" x14ac:dyDescent="0.25">
      <c r="A294" s="4"/>
    </row>
    <row r="295" spans="1:1" s="7" customFormat="1" x14ac:dyDescent="0.25">
      <c r="A295" s="4"/>
    </row>
    <row r="296" spans="1:1" s="7" customFormat="1" x14ac:dyDescent="0.25">
      <c r="A296" s="4"/>
    </row>
    <row r="297" spans="1:1" s="7" customFormat="1" x14ac:dyDescent="0.25">
      <c r="A297" s="4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2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Vinícius Santana Lima</cp:lastModifiedBy>
  <dcterms:created xsi:type="dcterms:W3CDTF">2024-12-19T13:13:10Z</dcterms:created>
  <dcterms:modified xsi:type="dcterms:W3CDTF">2025-12-30T20:41:44Z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