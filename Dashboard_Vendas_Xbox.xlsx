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Área de Trabalho\Projetos\excel\"/>
    </mc:Choice>
  </mc:AlternateContent>
  <xr:revisionPtr revIDLastSave="0" documentId="8_{F8C0228F-0CF8-4738-BA22-35CCD72C9B26}" xr6:coauthVersionLast="47" xr6:coauthVersionMax="47" xr10:uidLastSave="{00000000-0000-0000-0000-000000000000}"/>
  <bookViews>
    <workbookView xWindow="-120" yWindow="-120" windowWidth="20730" windowHeight="11160" tabRatio="18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3" l="1"/>
  <c r="E22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<sst xmlns="http://schemas.openxmlformats.org/spreadsheetml/2006/main" count="2017" uniqueCount="319">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</sst>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Border="1"/>
    <xf numFmtId="165" fontId="0" fillId="0" borderId="0" xfId="0" applyNumberFormat="1"/>
    <xf numFmtId="0" fontId="0" fillId="0" borderId="2" xfId="0" applyBorder="1"/>
    <xf numFmtId="0" fontId="4" fillId="0" borderId="2" xfId="1" applyFont="1" applyBorder="1" applyAlignment="1">
      <alignment horizontal="left" indent="13"/>
    </xf>
  </cellXfs>
  <cellStyles count="3">
    <cellStyle name="Moeda" xfId="2" builtinId="4"/>
    <cellStyle name="Normal" xfId="0" builtinId="0"/>
    <cellStyle name="Título 1" xfId="1" builtinId="16"/>
  </cellStyles>
  <dxfs count="64"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0" formatCode="General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9B2CC409-0748-4179-869D-B3C610D19A2E}">
      <tableStyleElement type="wholeTable" dxfId="49"/>
      <tableStyleElement type="headerRow" dxfId="48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[Dashboard_Vendas_Xbox.xlsx]C̳álculos!tbl_annual_total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8-4AF4-BDDB-8E7C91D2B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9961231"/>
        <c:axId val="459959311"/>
      </c:barChart>
      <c:catAx>
        <c:axId val="459961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9959311"/>
        <c:crosses val="autoZero"/>
        <c:auto val="1"/>
        <c:lblAlgn val="ctr"/>
        <c:lblOffset val="100"/>
        <c:noMultiLvlLbl val="0"/>
      </c:catAx>
      <c:valAx>
        <c:axId val="459959311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5996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90714</xdr:colOff>
      <xdr:row>1</xdr:row>
      <xdr:rowOff>109764</xdr:rowOff>
    </xdr:from>
    <xdr:to>
      <xdr:col>3</xdr:col>
      <xdr:colOff>0</xdr:colOff>
      <xdr:row>2</xdr:row>
      <xdr:rowOff>281215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56AE5B-10E1-4072-A716-2F0B9729D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" t="27964" r="71798" b="17807"/>
        <a:stretch/>
      </xdr:blipFill>
      <xdr:spPr>
        <a:xfrm>
          <a:off x="1941285" y="293914"/>
          <a:ext cx="762001" cy="670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38099</xdr:rowOff>
    </xdr:from>
    <xdr:to>
      <xdr:col>0</xdr:col>
      <xdr:colOff>1847850</xdr:colOff>
      <xdr:row>19</xdr:row>
      <xdr:rowOff>188912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32DFC81-5E4E-4035-9DE0-F5FA2C89A9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81162"/>
              <a:ext cx="1847850" cy="26630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227240</xdr:colOff>
      <xdr:row>6</xdr:row>
      <xdr:rowOff>54883</xdr:rowOff>
    </xdr:from>
    <xdr:to>
      <xdr:col>10</xdr:col>
      <xdr:colOff>269875</xdr:colOff>
      <xdr:row>13</xdr:row>
      <xdr:rowOff>112706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37D1662-071E-D695-E795-BA3D790FD74E}"/>
            </a:ext>
          </a:extLst>
        </xdr:cNvPr>
        <xdr:cNvGrpSpPr/>
      </xdr:nvGrpSpPr>
      <xdr:grpSpPr>
        <a:xfrm>
          <a:off x="2072709" y="1578883"/>
          <a:ext cx="5138510" cy="1546104"/>
          <a:chOff x="2074636" y="1587954"/>
          <a:chExt cx="5153025" cy="155460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4132B94-1704-FB7B-32B0-5D7C6E177E99}"/>
              </a:ext>
            </a:extLst>
          </xdr:cNvPr>
          <xdr:cNvSpPr/>
        </xdr:nvSpPr>
        <xdr:spPr>
          <a:xfrm>
            <a:off x="2079169" y="1590216"/>
            <a:ext cx="5148492" cy="1550766"/>
          </a:xfrm>
          <a:prstGeom prst="roundRect">
            <a:avLst>
              <a:gd name="adj" fmla="val 903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57DC9FB-428C-4414-964B-BF4A99451DF7}"/>
              </a:ext>
            </a:extLst>
          </xdr:cNvPr>
          <xdr:cNvSpPr/>
        </xdr:nvSpPr>
        <xdr:spPr>
          <a:xfrm>
            <a:off x="3919091" y="2074094"/>
            <a:ext cx="3018015" cy="926574"/>
          </a:xfrm>
          <a:prstGeom prst="roundRect">
            <a:avLst>
              <a:gd name="adj" fmla="val 903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3CC67EC-EC2A-46CF-80A7-FBA0A2FF2018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ACFDC56-8B44-48A2-A620-3625A8C5F3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60700" y="1925850"/>
            <a:ext cx="1218449" cy="1216713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800D940-C151-6105-E610-0A878136A584}"/>
              </a:ext>
            </a:extLst>
          </xdr:cNvPr>
          <xdr:cNvSpPr/>
        </xdr:nvSpPr>
        <xdr:spPr>
          <a:xfrm>
            <a:off x="2074636" y="1587954"/>
            <a:ext cx="5146225" cy="37705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i="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189139</xdr:colOff>
      <xdr:row>6</xdr:row>
      <xdr:rowOff>55673</xdr:rowOff>
    </xdr:from>
    <xdr:to>
      <xdr:col>20</xdr:col>
      <xdr:colOff>41274</xdr:colOff>
      <xdr:row>13</xdr:row>
      <xdr:rowOff>111915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B1E07ED2-E7E1-D07E-71CA-FCA28C10CB7A}"/>
            </a:ext>
          </a:extLst>
        </xdr:cNvPr>
        <xdr:cNvGrpSpPr/>
      </xdr:nvGrpSpPr>
      <xdr:grpSpPr>
        <a:xfrm>
          <a:off x="7737702" y="1579673"/>
          <a:ext cx="5150416" cy="1544523"/>
          <a:chOff x="7754710" y="1589316"/>
          <a:chExt cx="5149850" cy="1553028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DFE2F626-359A-43F0-B4AB-B79F40FD476C}"/>
              </a:ext>
            </a:extLst>
          </xdr:cNvPr>
          <xdr:cNvGrpSpPr/>
        </xdr:nvGrpSpPr>
        <xdr:grpSpPr>
          <a:xfrm>
            <a:off x="7754710" y="1589316"/>
            <a:ext cx="5149850" cy="1553028"/>
            <a:chOff x="2074636" y="1587954"/>
            <a:chExt cx="5153025" cy="1553028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1FD4DB3A-A75C-39FE-5622-0837A6AE2805}"/>
                </a:ext>
              </a:extLst>
            </xdr:cNvPr>
            <xdr:cNvSpPr/>
          </xdr:nvSpPr>
          <xdr:spPr>
            <a:xfrm>
              <a:off x="2079169" y="1590216"/>
              <a:ext cx="5148492" cy="1550766"/>
            </a:xfrm>
            <a:prstGeom prst="roundRect">
              <a:avLst>
                <a:gd name="adj" fmla="val 903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3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CECAABF5-80D5-5AC6-F723-5B43480BC7E4}"/>
                </a:ext>
              </a:extLst>
            </xdr:cNvPr>
            <xdr:cNvSpPr/>
          </xdr:nvSpPr>
          <xdr:spPr>
            <a:xfrm>
              <a:off x="3919091" y="2074094"/>
              <a:ext cx="3018015" cy="926574"/>
            </a:xfrm>
            <a:prstGeom prst="roundRect">
              <a:avLst>
                <a:gd name="adj" fmla="val 903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CD92CBB-0CFE-4DD0-A162-2321D46F1141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pt-BR" sz="115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6368796C-9FD3-3672-85F9-490EB0C922A3}"/>
                </a:ext>
              </a:extLst>
            </xdr:cNvPr>
            <xdr:cNvSpPr/>
          </xdr:nvSpPr>
          <xdr:spPr>
            <a:xfrm>
              <a:off x="2074636" y="1587954"/>
              <a:ext cx="5146225" cy="37705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 i="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10C24C0F-AFD6-461A-8D5C-44BE497BD20E}"/>
              </a:ext>
            </a:extLst>
          </xdr:cNvPr>
          <xdr:cNvGrpSpPr/>
        </xdr:nvGrpSpPr>
        <xdr:grpSpPr>
          <a:xfrm>
            <a:off x="8291286" y="2222953"/>
            <a:ext cx="1299105" cy="53521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60904B68-F7A9-F6B8-A277-9FAE106EBB4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58EBBBA6-E890-4DE3-E11C-503FCC1F1B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232454</xdr:colOff>
      <xdr:row>15</xdr:row>
      <xdr:rowOff>33563</xdr:rowOff>
    </xdr:from>
    <xdr:to>
      <xdr:col>20</xdr:col>
      <xdr:colOff>41274</xdr:colOff>
      <xdr:row>33</xdr:row>
      <xdr:rowOff>17688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FDDE5CD-E4C9-BBE4-A69A-A172C7E079A1}"/>
            </a:ext>
          </a:extLst>
        </xdr:cNvPr>
        <xdr:cNvGrpSpPr/>
      </xdr:nvGrpSpPr>
      <xdr:grpSpPr>
        <a:xfrm>
          <a:off x="2077923" y="3426844"/>
          <a:ext cx="10810195" cy="3413125"/>
          <a:chOff x="2083025" y="3444420"/>
          <a:chExt cx="10871429" cy="341312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F14E1DC-44CA-555A-FDC0-505939B93122}"/>
              </a:ext>
            </a:extLst>
          </xdr:cNvPr>
          <xdr:cNvGrpSpPr/>
        </xdr:nvGrpSpPr>
        <xdr:grpSpPr>
          <a:xfrm>
            <a:off x="2083025" y="3462564"/>
            <a:ext cx="10871429" cy="3394981"/>
            <a:chOff x="2598736" y="839942"/>
            <a:chExt cx="5192713" cy="339392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39AD4B0-0DA6-F339-A0C5-CA5B6D15B20B}"/>
                </a:ext>
              </a:extLst>
            </xdr:cNvPr>
            <xdr:cNvSpPr/>
          </xdr:nvSpPr>
          <xdr:spPr>
            <a:xfrm>
              <a:off x="2598736" y="839942"/>
              <a:ext cx="5192713" cy="3389161"/>
            </a:xfrm>
            <a:prstGeom prst="roundRect">
              <a:avLst>
                <a:gd name="adj" fmla="val 572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22C55E"/>
                </a:solidFill>
              </a:endParaRPr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7431833-069C-4730-AB49-3390CC408D95}"/>
                </a:ext>
              </a:extLst>
            </xdr:cNvPr>
            <xdr:cNvGraphicFramePr>
              <a:graphicFrameLocks/>
            </xdr:cNvGraphicFramePr>
          </xdr:nvGraphicFramePr>
          <xdr:xfrm>
            <a:off x="2982912" y="1493837"/>
            <a:ext cx="4581525" cy="27400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0F89B855-EA84-4C7C-A3D8-1AABF7E0591A}"/>
              </a:ext>
            </a:extLst>
          </xdr:cNvPr>
          <xdr:cNvSpPr/>
        </xdr:nvSpPr>
        <xdr:spPr>
          <a:xfrm>
            <a:off x="2092778" y="3444420"/>
            <a:ext cx="10861222" cy="38022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i="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417061</xdr:colOff>
      <xdr:row>1</xdr:row>
      <xdr:rowOff>0</xdr:rowOff>
    </xdr:from>
    <xdr:to>
      <xdr:col>0</xdr:col>
      <xdr:colOff>1313886</xdr:colOff>
      <xdr:row>2</xdr:row>
      <xdr:rowOff>401071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88F4764B-BBDD-4A0F-8238-C540FF0BD593}"/>
            </a:ext>
          </a:extLst>
        </xdr:cNvPr>
        <xdr:cNvSpPr/>
      </xdr:nvSpPr>
      <xdr:spPr>
        <a:xfrm>
          <a:off x="417061" y="190500"/>
          <a:ext cx="896825" cy="9000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3</xdr:row>
      <xdr:rowOff>90714</xdr:rowOff>
    </xdr:from>
    <xdr:to>
      <xdr:col>0</xdr:col>
      <xdr:colOff>1734005</xdr:colOff>
      <xdr:row>5</xdr:row>
      <xdr:rowOff>90714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4DD29A2C-1489-3899-829B-AC39169CECF3}"/>
            </a:ext>
          </a:extLst>
        </xdr:cNvPr>
        <xdr:cNvSpPr/>
      </xdr:nvSpPr>
      <xdr:spPr>
        <a:xfrm>
          <a:off x="0" y="1279071"/>
          <a:ext cx="1734005" cy="208643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&gt; Bem</a:t>
          </a:r>
          <a:r>
            <a:rPr lang="pt-BR" sz="1400" b="1" baseline="0"/>
            <a:t> vindo!</a:t>
          </a:r>
          <a:endParaRPr lang="pt-BR" sz="1400" b="1"/>
        </a:p>
      </xdr:txBody>
    </xdr:sp>
    <xdr:clientData/>
  </xdr:twoCellAnchor>
  <xdr:twoCellAnchor editAs="absolute">
    <xdr:from>
      <xdr:col>1</xdr:col>
      <xdr:colOff>154778</xdr:colOff>
      <xdr:row>2</xdr:row>
      <xdr:rowOff>344713</xdr:rowOff>
    </xdr:from>
    <xdr:to>
      <xdr:col>9</xdr:col>
      <xdr:colOff>0</xdr:colOff>
      <xdr:row>5</xdr:row>
      <xdr:rowOff>114526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14265B57-CE09-4D18-A727-94691A487C05}"/>
            </a:ext>
          </a:extLst>
        </xdr:cNvPr>
        <xdr:cNvSpPr/>
      </xdr:nvSpPr>
      <xdr:spPr>
        <a:xfrm>
          <a:off x="2004216" y="1027338"/>
          <a:ext cx="4361659" cy="468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 b="0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BR" sz="1000" b="0" baseline="0">
              <a:solidFill>
                <a:schemeClr val="bg1">
                  <a:lumMod val="50000"/>
                </a:schemeClr>
              </a:solidFill>
            </a:rPr>
            <a:t>: 20/10/2025 - 20/11/2026 | Update date: 30/12/2025 17:30</a:t>
          </a:r>
          <a:endParaRPr lang="pt-BR" sz="10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ícius Santana Lima" refreshedDate="46021.651797916667" createdVersion="8" refreshedVersion="8" minRefreshableVersion="3" recordCount="295" xr:uid="{E1179B8D-F2CA-4893-8B74-514023EADAC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77274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BF302-9C3C-4188-92DE-916A984FFB2A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2">
    <format dxfId="43">
      <pivotArea collapsedLevelsAreSubtotals="1" fieldPosition="0">
        <references count="1">
          <reference field="2" count="2">
            <x v="1"/>
            <x v="2"/>
          </reference>
        </references>
      </pivotArea>
    </format>
    <format dxfId="4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3FF98-730A-4CBC-8AC7-13A93BC18D8E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88948-EEBD-4D3F-88DE-41531C5799DC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4">
    <format dxfId="47">
      <pivotArea dataOnly="0" labelOnly="1" outline="0" axis="axisValues" fieldPosition="0"/>
    </format>
    <format dxfId="46">
      <pivotArea collapsedLevelsAreSubtotals="1" fieldPosition="0">
        <references count="1">
          <reference field="4" count="1">
            <x v="0"/>
          </reference>
        </references>
      </pivotArea>
    </format>
    <format dxfId="45">
      <pivotArea collapsedLevelsAreSubtotals="1" fieldPosition="0">
        <references count="1">
          <reference field="4" count="1">
            <x v="1"/>
          </reference>
        </references>
      </pivotArea>
    </format>
    <format dxfId="44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6697A31-676F-4062-B86B-CFB61CBC8BE2}" sourceName="Subscription Type">
  <pivotTables>
    <pivotTable tabId="3" name="tbl_annual_total"/>
    <pivotTable tabId="3" name="tbl_easeasonpass_total"/>
    <pivotTable tabId="3" name="Tabela dinâmica4"/>
  </pivotTables>
  <data>
    <tabular pivotCacheId="16772740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1C6FEB1-2B6F-42AA-81C2-36E6F497C45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6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62"/>
    <tableColumn id="2" xr3:uid="{53DD39D0-2220-4121-9E9D-4EAA7E151C0F}" name="Name" dataDxfId="61"/>
    <tableColumn id="3" xr3:uid="{4F5FF271-4C57-4BE0-8F2C-F82C8551625C}" name="Plan" dataDxfId="60"/>
    <tableColumn id="4" xr3:uid="{8C17EB93-79B9-4E55-B8F7-BEB82F8253E9}" name="Start Date" dataDxfId="59"/>
    <tableColumn id="5" xr3:uid="{48CEDF9B-1689-482A-A828-5CCE7713264A}" name="Auto Renewal" dataDxfId="58"/>
    <tableColumn id="6" xr3:uid="{78B82374-9AA7-4E38-AE4F-78CDE6C83720}" name="Subscription Price" dataDxfId="57" dataCellStyle="Moeda"/>
    <tableColumn id="7" xr3:uid="{F2433F68-AF33-49D0-B1FB-19A396074EDE}" name="Subscription Type" dataDxfId="56"/>
    <tableColumn id="8" xr3:uid="{FD4D9C95-F6E5-4933-9068-A71FF7DF9343}" name="EA Play Season Pass" dataDxfId="55"/>
    <tableColumn id="13" xr3:uid="{978DD0D2-834E-4CE4-A39B-30976086932F}" name="EA Play Season Pass_x000a_Price" dataDxfId="54" dataCellStyle="Moeda"/>
    <tableColumn id="9" xr3:uid="{6E29F111-C395-4580-9DAD-3407D9E8B1A4}" name="Minecraft Season Pass" dataDxfId="53"/>
    <tableColumn id="10" xr3:uid="{EF544EAA-7F25-4FD5-A10E-8E62804DB9E3}" name="Minecraft Season Pass Price" dataDxfId="52" dataCellStyle="Moeda"/>
    <tableColumn id="11" xr3:uid="{7F6EB64A-1F07-4E48-9F0F-AC7D9DCD26F8}" name="Coupon Value" dataDxfId="51" dataCellStyle="Moeda"/>
    <tableColumn id="12" xr3:uid="{2B04ABC8-DE6F-426E-ADC0-D8AFC68CA58E}" name="Total Value" dataDxfId="5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D11" sqref="D1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11" sqref="D1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3"/>
  <sheetViews>
    <sheetView showGridLines="0" topLeftCell="A19" workbookViewId="0">
      <selection activeCell="D11" sqref="D1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855468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s="12" t="s">
        <v>16</v>
      </c>
      <c r="C6" t="s">
        <v>24</v>
      </c>
    </row>
    <row r="8" spans="2:3" x14ac:dyDescent="0.25">
      <c r="B8" s="12" t="s">
        <v>313</v>
      </c>
      <c r="C8" s="14" t="s">
        <v>315</v>
      </c>
    </row>
    <row r="9" spans="2:3" x14ac:dyDescent="0.25">
      <c r="B9" s="13" t="s">
        <v>23</v>
      </c>
      <c r="C9" s="16">
        <v>217</v>
      </c>
    </row>
    <row r="10" spans="2:3" x14ac:dyDescent="0.25">
      <c r="B10" s="13" t="s">
        <v>19</v>
      </c>
      <c r="C10" s="16">
        <v>1537</v>
      </c>
    </row>
    <row r="11" spans="2:3" x14ac:dyDescent="0.25">
      <c r="B11" s="13" t="s">
        <v>314</v>
      </c>
      <c r="C11" s="16">
        <v>1754</v>
      </c>
    </row>
    <row r="16" spans="2:3" x14ac:dyDescent="0.25">
      <c r="B16" s="12" t="s">
        <v>16</v>
      </c>
      <c r="C16" t="s">
        <v>24</v>
      </c>
    </row>
    <row r="18" spans="2:5" x14ac:dyDescent="0.25">
      <c r="B18" s="12" t="s">
        <v>313</v>
      </c>
      <c r="C18" t="s">
        <v>317</v>
      </c>
    </row>
    <row r="19" spans="2:5" x14ac:dyDescent="0.25">
      <c r="B19" s="13" t="s">
        <v>22</v>
      </c>
      <c r="C19" s="14">
        <v>0</v>
      </c>
    </row>
    <row r="20" spans="2:5" x14ac:dyDescent="0.25">
      <c r="B20" s="13" t="s">
        <v>26</v>
      </c>
      <c r="C20" s="14">
        <v>0</v>
      </c>
    </row>
    <row r="21" spans="2:5" x14ac:dyDescent="0.25">
      <c r="B21" s="13" t="s">
        <v>18</v>
      </c>
      <c r="C21" s="14">
        <v>600</v>
      </c>
    </row>
    <row r="22" spans="2:5" x14ac:dyDescent="0.25">
      <c r="B22" s="13" t="s">
        <v>314</v>
      </c>
      <c r="C22" s="14">
        <v>600</v>
      </c>
      <c r="E22" s="16">
        <f>GETPIVOTDATA("EA Play Season Pass
Price",$B$18)</f>
        <v>600</v>
      </c>
    </row>
    <row r="27" spans="2:5" x14ac:dyDescent="0.25">
      <c r="B27" s="12" t="s">
        <v>16</v>
      </c>
      <c r="C27" t="s">
        <v>24</v>
      </c>
    </row>
    <row r="29" spans="2:5" x14ac:dyDescent="0.25">
      <c r="B29" s="12" t="s">
        <v>313</v>
      </c>
      <c r="C29" t="s">
        <v>318</v>
      </c>
    </row>
    <row r="30" spans="2:5" x14ac:dyDescent="0.25">
      <c r="B30" s="13" t="s">
        <v>22</v>
      </c>
      <c r="C30" s="14">
        <v>0</v>
      </c>
    </row>
    <row r="31" spans="2:5" x14ac:dyDescent="0.25">
      <c r="B31" s="13" t="s">
        <v>26</v>
      </c>
      <c r="C31" s="16">
        <v>540</v>
      </c>
    </row>
    <row r="32" spans="2:5" x14ac:dyDescent="0.25">
      <c r="B32" s="13" t="s">
        <v>18</v>
      </c>
      <c r="C32" s="16">
        <v>400</v>
      </c>
    </row>
    <row r="33" spans="2:5" x14ac:dyDescent="0.25">
      <c r="B33" s="13" t="s">
        <v>314</v>
      </c>
      <c r="C33" s="16">
        <v>940</v>
      </c>
      <c r="E33" s="16">
        <f>GETPIVOTDATA("Minecraft Season Pass Price",$B$29)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297"/>
  <sheetViews>
    <sheetView showGridLines="0" showRowColHeaders="0" tabSelected="1" zoomScale="80" zoomScaleNormal="80" workbookViewId="0">
      <selection activeCell="X17" sqref="X17"/>
    </sheetView>
  </sheetViews>
  <sheetFormatPr defaultRowHeight="15" x14ac:dyDescent="0.25"/>
  <cols>
    <col min="1" max="1" width="27.7109375" style="4" customWidth="1"/>
    <col min="2" max="2" width="3.5703125" customWidth="1"/>
    <col min="12" max="12" width="6.5703125" customWidth="1"/>
  </cols>
  <sheetData>
    <row r="2" spans="1:20" ht="39" customHeight="1" thickBot="1" x14ac:dyDescent="0.5">
      <c r="C2" s="18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  <c r="T2" s="17"/>
    </row>
    <row r="3" spans="1:20" ht="39" customHeight="1" thickTop="1" x14ac:dyDescent="0.25"/>
    <row r="4" spans="1:20" s="7" customFormat="1" ht="8.25" customHeight="1" x14ac:dyDescent="0.25">
      <c r="A4" s="4"/>
    </row>
    <row r="5" spans="1:20" s="7" customFormat="1" ht="7.5" customHeight="1" x14ac:dyDescent="0.25">
      <c r="A5" s="4"/>
    </row>
    <row r="6" spans="1:20" s="7" customFormat="1" ht="10.5" customHeight="1" x14ac:dyDescent="0.25">
      <c r="A6" s="4"/>
    </row>
    <row r="7" spans="1:20" s="7" customFormat="1" ht="9.75" customHeight="1" x14ac:dyDescent="0.25">
      <c r="A7" s="4"/>
    </row>
    <row r="8" spans="1:20" s="7" customFormat="1" ht="33" customHeigh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Vinícius Santana Lima</cp:lastModifiedBy>
  <dcterms:created xsi:type="dcterms:W3CDTF">2024-12-19T13:13:10Z</dcterms:created>
  <dcterms:modified xsi:type="dcterms:W3CDTF">2025-12-30T21:19:48Z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